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D6C41B3A-A710-40D7-9C6A-46E81C88D9C2}" xr6:coauthVersionLast="47" xr6:coauthVersionMax="47" xr10:uidLastSave="{00000000-0000-0000-0000-000000000000}"/>
  <bookViews>
    <workbookView xWindow="-120" yWindow="-120" windowWidth="29040" windowHeight="15720" xr2:uid="{792236A7-4AAB-4BA1-AAC9-419984176E5F}"/>
  </bookViews>
  <sheets>
    <sheet name="Dashboard" sheetId="2" r:id="rId1"/>
    <sheet name="Pivot Report" sheetId="1" r:id="rId2"/>
    <sheet name="Average wait time daily trend" sheetId="4" r:id="rId3"/>
    <sheet name="Dialy ER No of Patient" sheetId="3" r:id="rId4"/>
    <sheet name="satisfaction score daily trend"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a0441479-87fe-4785-a41a-ab2416224516" name="Hospital Emergency Room Data" connection="Query - Hospital Emergency Room Data"/>
          <x15:modelTable id="Calender_Table_6864bcbb-c635-48b8-b5c6-d04184e8883d"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8" i="1" l="1"/>
  <c r="C49" i="1"/>
  <c r="A48" i="1"/>
  <c r="B48" i="1"/>
  <c r="B49" i="1"/>
  <c r="A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8823AC-7EFC-4F92-8A6C-DBD0A1ED7099}" name="Query - Calender_Table" description="Connection to the 'Calender_Table' query in the workbook." type="100" refreshedVersion="8" minRefreshableVersion="5">
    <extLst>
      <ext xmlns:x15="http://schemas.microsoft.com/office/spreadsheetml/2010/11/main" uri="{DE250136-89BD-433C-8126-D09CA5730AF9}">
        <x15:connection id="884cbe71-fe37-416f-8f9b-6f15a6aee048"/>
      </ext>
    </extLst>
  </connection>
  <connection id="2" xr16:uid="{D335542E-E50E-4BD5-8DDD-7283E6D0FFFA}"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a6c74fb-0c69-4003-8fa4-e8b507ac6a9c"/>
      </ext>
    </extLst>
  </connection>
  <connection id="3" xr16:uid="{12111032-2C2E-4770-9FF0-049D3A3F462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<sst xmlns="http://schemas.openxmlformats.org/spreadsheetml/2006/main" count="180" uniqueCount="72">
  <si>
    <t>Distinct Count of Patient Id</t>
  </si>
  <si>
    <t>No. of Patient</t>
  </si>
  <si>
    <t>Average of Patient Waittime</t>
  </si>
  <si>
    <t>Average of Patient Satisfaction Score</t>
  </si>
  <si>
    <t>Grand Total</t>
  </si>
  <si>
    <t>Row Labels</t>
  </si>
  <si>
    <t>Satisfaction score daily trend</t>
  </si>
  <si>
    <t xml:space="preserve">Daily ER no of patient </t>
  </si>
  <si>
    <t>Count of Patient Admission Flag</t>
  </si>
  <si>
    <t>Admited</t>
  </si>
  <si>
    <t>Not Admited</t>
  </si>
  <si>
    <t>Count of Patient Admission Flag2</t>
  </si>
  <si>
    <t>Admission Status</t>
  </si>
  <si>
    <t>% Status</t>
  </si>
  <si>
    <t xml:space="preserve"> No. of Patient</t>
  </si>
  <si>
    <t>0-09</t>
  </si>
  <si>
    <t>10-19</t>
  </si>
  <si>
    <t>20-29</t>
  </si>
  <si>
    <t>30-39</t>
  </si>
  <si>
    <t>40-49</t>
  </si>
  <si>
    <t>50-59</t>
  </si>
  <si>
    <t>60-69</t>
  </si>
  <si>
    <t>70-79</t>
  </si>
  <si>
    <t>Count of Age Group</t>
  </si>
  <si>
    <t>age group wise analysis</t>
  </si>
  <si>
    <t>OnTime</t>
  </si>
  <si>
    <t>Delay</t>
  </si>
  <si>
    <t>Count of Patient Attendd Status</t>
  </si>
  <si>
    <t>Attendent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</si>
  <si>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</si>
  <si>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</si>
  <si>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</si>
  <si>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</si>
  <si>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</si>
  <si>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</si>
  <si>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</si>
  <si>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</si>
  <si>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</si>
  <si>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</si>
  <si>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</si>
  <si>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</si>
  <si>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</si>
  <si>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2024</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</si>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</sst>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4" tint="0.39997558519241921"/>
        <bgColor indexed="64"/>
      </patternFill>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0" borderId="1" xfId="0" pivotButton="1" applyBorder="1"/>
    <xf numFmtId="0" fontId="0" fillId="0" borderId="1" xfId="0" applyBorder="1"/>
    <xf numFmtId="0" fontId="0" fillId="0" borderId="1" xfId="0" applyBorder="1" applyAlignment="1">
      <alignment horizontal="left"/>
    </xf>
    <xf numFmtId="2" fontId="0" fillId="0" borderId="1" xfId="0" applyNumberFormat="1" applyBorder="1"/>
    <xf numFmtId="0" fontId="0" fillId="0" borderId="0" xfId="0" applyAlignment="1">
      <alignment vertical="center"/>
    </xf>
    <xf numFmtId="10" fontId="0" fillId="0" borderId="0" xfId="0" applyNumberFormat="1"/>
    <xf numFmtId="0" fontId="0" fillId="3" borderId="0" xfId="0" applyFill="1"/>
    <xf numFmtId="0" fontId="0" fillId="4" borderId="0" xfId="0" applyFill="1"/>
    <xf numFmtId="0" fontId="0" fillId="3" borderId="0" xfId="0" applyFill="1" applyAlignment="1">
      <alignment horizontal="center"/>
    </xf>
    <xf numFmtId="0" fontId="0" fillId="4" borderId="0" xfId="0" applyFill="1" applyAlignment="1">
      <alignment horizontal="center"/>
    </xf>
    <xf numFmtId="9" fontId="0" fillId="4" borderId="0" xfId="1" applyFont="1" applyFill="1" applyAlignment="1">
      <alignment horizontal="center"/>
    </xf>
    <xf numFmtId="1" fontId="0" fillId="0" borderId="0" xfId="0" applyNumberFormat="1"/>
    <xf numFmtId="0" fontId="0" fillId="0" borderId="1" xfId="0" applyBorder="1" applyAlignment="1">
      <alignment horizontal="center"/>
    </xf>
  </cellXfs>
  <cellStyles count="2">
    <cellStyle name="Normal" xfId="0" builtinId="0"/>
    <cellStyle name="Percent" xfId="1" builtinId="5"/>
  </cellStyles>
  <dxfs count="36">
    <dxf>
      <numFmt numFmtId="2" formatCode="0.00"/>
    </dxf>
    <dxf>
      <numFmt numFmtId="2" formatCode="0.00"/>
    </dxf>
    <dxf>
      <numFmt numFmtId="1" formatCode="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14" formatCode="0.00%"/>
    </dxf>
    <dxf>
      <numFmt numFmtId="2" formatCode="0.00"/>
    </dxf>
    <dxf>
      <numFmt numFmtId="1" formatCode="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1" formatCode="0"/>
    </dxf>
    <dxf>
      <numFmt numFmtId="2" formatCode="0.00"/>
    </dxf>
    <dxf>
      <font>
        <color theme="7" tint="0.39994506668294322"/>
      </font>
    </dxf>
    <dxf>
      <fill>
        <patternFill>
          <bgColor theme="7" tint="0.39994506668294322"/>
        </patternFill>
      </fill>
    </dxf>
    <dxf>
      <font>
        <b/>
        <color theme="1"/>
      </font>
      <border>
        <bottom style="thin">
          <color theme="5"/>
        </bottom>
        <vertical/>
        <horizontal/>
      </border>
    </dxf>
    <dxf>
      <font>
        <sz val="8"/>
        <color theme="1"/>
      </font>
      <fill>
        <patternFill>
          <bgColor theme="0" tint="-0.24994659260841701"/>
        </patternFill>
      </fill>
      <border diagonalUp="0" diagonalDown="0">
        <left/>
        <right/>
        <top/>
        <bottom/>
        <vertical/>
        <horizontal/>
      </border>
    </dxf>
  </dxfs>
  <tableStyles count="3" defaultTableStyle="TableStyleMedium2" defaultPivotStyle="PivotStyleLight16">
    <tableStyle name="My Style" pivot="0" table="0" count="10" xr9:uid="{08C513C5-6F79-4474-B1E4-9F3A8BF00576}">
      <tableStyleElement type="wholeTable" dxfId="35"/>
      <tableStyleElement type="headerRow" dxfId="34"/>
    </tableStyle>
    <tableStyle name="Slicer Style 1" pivot="0" table="0" count="1" xr9:uid="{D7D2E69A-6304-4367-B3D4-5B30EA31499C}">
      <tableStyleElement type="wholeTable" dxfId="33"/>
    </tableStyle>
    <tableStyle name="Slicer Style 2" pivot="0" table="0" count="1" xr9:uid="{06172807-F6D3-4192-870E-BA93C1248062}">
      <tableStyleElement type="wholeTable" dxfId="3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 (Recovered).xlsx]Pivot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78469866396754E-2"/>
          <c:y val="9.6396886357810102E-2"/>
          <c:w val="0.96211504793514935"/>
          <c:h val="0.5669765023237674"/>
        </c:manualLayout>
      </c:layout>
      <c:areaChart>
        <c:grouping val="standard"/>
        <c:varyColors val="0"/>
        <c:ser>
          <c:idx val="0"/>
          <c:order val="0"/>
          <c:tx>
            <c:strRef>
              <c:f>'Pivot Report'!$L$5</c:f>
              <c:strCache>
                <c:ptCount val="1"/>
                <c:pt idx="0">
                  <c:v>Total</c:v>
                </c:pt>
              </c:strCache>
            </c:strRef>
          </c:tx>
          <c:spPr>
            <a:solidFill>
              <a:schemeClr val="accent1"/>
            </a:solidFill>
            <a:ln w="25400">
              <a:noFill/>
            </a:ln>
            <a:effectLst/>
          </c:spPr>
          <c:cat>
            <c:strRef>
              <c:f>'Pivot Report'!$K$6:$K$35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Report'!$L$6:$L$35</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E4C5-4F43-9CCB-9C1F242689EB}"/>
            </c:ext>
          </c:extLst>
        </c:ser>
        <c:dLbls>
          <c:showLegendKey val="0"/>
          <c:showVal val="0"/>
          <c:showCatName val="0"/>
          <c:showSerName val="0"/>
          <c:showPercent val="0"/>
          <c:showBubbleSize val="0"/>
        </c:dLbls>
        <c:axId val="1390567647"/>
        <c:axId val="1390568127"/>
      </c:areaChart>
      <c:catAx>
        <c:axId val="1390567647"/>
        <c:scaling>
          <c:orientation val="minMax"/>
        </c:scaling>
        <c:delete val="1"/>
        <c:axPos val="b"/>
        <c:numFmt formatCode="General" sourceLinked="1"/>
        <c:majorTickMark val="out"/>
        <c:minorTickMark val="none"/>
        <c:tickLblPos val="nextTo"/>
        <c:crossAx val="1390568127"/>
        <c:crosses val="autoZero"/>
        <c:auto val="1"/>
        <c:lblAlgn val="ctr"/>
        <c:lblOffset val="100"/>
        <c:noMultiLvlLbl val="0"/>
      </c:catAx>
      <c:valAx>
        <c:axId val="1390568127"/>
        <c:scaling>
          <c:orientation val="minMax"/>
        </c:scaling>
        <c:delete val="1"/>
        <c:axPos val="l"/>
        <c:numFmt formatCode="General" sourceLinked="1"/>
        <c:majorTickMark val="none"/>
        <c:minorTickMark val="none"/>
        <c:tickLblPos val="nextTo"/>
        <c:crossAx val="139056764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 (Recovered).xlsx]Pivot Report!PivotTable6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8256339855422726"/>
          <c:w val="1"/>
          <c:h val="0.81743660144577268"/>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Report'!$I$5:$I$34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9F0F-4D7B-8D21-46399DFD9A59}"/>
            </c:ext>
          </c:extLst>
        </c:ser>
        <c:dLbls>
          <c:showLegendKey val="0"/>
          <c:showVal val="0"/>
          <c:showCatName val="0"/>
          <c:showSerName val="0"/>
          <c:showPercent val="0"/>
          <c:showBubbleSize val="0"/>
        </c:dLbls>
        <c:axId val="1527902463"/>
        <c:axId val="1527903423"/>
      </c:areaChart>
      <c:catAx>
        <c:axId val="1527902463"/>
        <c:scaling>
          <c:orientation val="minMax"/>
        </c:scaling>
        <c:delete val="1"/>
        <c:axPos val="b"/>
        <c:numFmt formatCode="General" sourceLinked="1"/>
        <c:majorTickMark val="out"/>
        <c:minorTickMark val="none"/>
        <c:tickLblPos val="nextTo"/>
        <c:crossAx val="1527903423"/>
        <c:crosses val="autoZero"/>
        <c:auto val="1"/>
        <c:lblAlgn val="ctr"/>
        <c:lblOffset val="100"/>
        <c:noMultiLvlLbl val="0"/>
      </c:catAx>
      <c:valAx>
        <c:axId val="1527903423"/>
        <c:scaling>
          <c:orientation val="minMax"/>
        </c:scaling>
        <c:delete val="1"/>
        <c:axPos val="l"/>
        <c:numFmt formatCode="0.00" sourceLinked="1"/>
        <c:majorTickMark val="none"/>
        <c:minorTickMark val="none"/>
        <c:tickLblPos val="nextTo"/>
        <c:crossAx val="15279024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 (Recovered).xlsx]Pivot Report!PivotTable7</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666666666666666E-2"/>
          <c:y val="1.8518518518518517E-2"/>
          <c:w val="0.98333333333333328"/>
          <c:h val="0.98148148148148151"/>
        </c:manualLayout>
      </c:layout>
      <c:areaChart>
        <c:grouping val="standard"/>
        <c:varyColors val="0"/>
        <c:ser>
          <c:idx val="0"/>
          <c:order val="0"/>
          <c:tx>
            <c:strRef>
              <c:f>'Pivot Report'!$F$4</c:f>
              <c:strCache>
                <c:ptCount val="1"/>
                <c:pt idx="0">
                  <c:v>Total</c:v>
                </c:pt>
              </c:strCache>
            </c:strRef>
          </c:tx>
          <c:spPr>
            <a:solidFill>
              <a:schemeClr val="accent1"/>
            </a:solidFill>
            <a:ln w="25400">
              <a:noFill/>
            </a:ln>
            <a:effectLst/>
          </c:spPr>
          <c:cat>
            <c:strRef>
              <c:f>'Pivot Report'!$E$5:$E$33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Report'!$F$5:$F$33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A187-475A-ADAB-3E988D34676B}"/>
            </c:ext>
          </c:extLst>
        </c:ser>
        <c:dLbls>
          <c:showLegendKey val="0"/>
          <c:showVal val="0"/>
          <c:showCatName val="0"/>
          <c:showSerName val="0"/>
          <c:showPercent val="0"/>
          <c:showBubbleSize val="0"/>
        </c:dLbls>
        <c:axId val="1487672927"/>
        <c:axId val="26725327"/>
      </c:areaChart>
      <c:catAx>
        <c:axId val="1487672927"/>
        <c:scaling>
          <c:orientation val="minMax"/>
        </c:scaling>
        <c:delete val="1"/>
        <c:axPos val="b"/>
        <c:numFmt formatCode="General" sourceLinked="1"/>
        <c:majorTickMark val="out"/>
        <c:minorTickMark val="none"/>
        <c:tickLblPos val="nextTo"/>
        <c:crossAx val="26725327"/>
        <c:crosses val="autoZero"/>
        <c:auto val="1"/>
        <c:lblAlgn val="ctr"/>
        <c:lblOffset val="100"/>
        <c:noMultiLvlLbl val="0"/>
      </c:catAx>
      <c:valAx>
        <c:axId val="26725327"/>
        <c:scaling>
          <c:orientation val="minMax"/>
        </c:scaling>
        <c:delete val="1"/>
        <c:axPos val="l"/>
        <c:numFmt formatCode="0.00" sourceLinked="1"/>
        <c:majorTickMark val="none"/>
        <c:minorTickMark val="none"/>
        <c:tickLblPos val="nextTo"/>
        <c:crossAx val="14876729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 (Recovered).xlsx]Pivot Report!PivotTable8</c:name>
    <c:fmtId val="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143682939234519E-2"/>
          <c:y val="0.1932091189220243"/>
          <c:w val="0.72270535183081475"/>
          <c:h val="0.49718542722097464"/>
        </c:manualLayout>
      </c:layout>
      <c:barChart>
        <c:barDir val="col"/>
        <c:grouping val="clustered"/>
        <c:varyColors val="0"/>
        <c:ser>
          <c:idx val="0"/>
          <c:order val="0"/>
          <c:tx>
            <c:strRef>
              <c:f>'Pivot Report'!$B$56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Report'!$A$57:$A$65</c:f>
              <c:strCache>
                <c:ptCount val="8"/>
                <c:pt idx="0">
                  <c:v>0-09</c:v>
                </c:pt>
                <c:pt idx="1">
                  <c:v>10-19</c:v>
                </c:pt>
                <c:pt idx="2">
                  <c:v>20-29</c:v>
                </c:pt>
                <c:pt idx="3">
                  <c:v>30-39</c:v>
                </c:pt>
                <c:pt idx="4">
                  <c:v>40-49</c:v>
                </c:pt>
                <c:pt idx="5">
                  <c:v>50-59</c:v>
                </c:pt>
                <c:pt idx="6">
                  <c:v>60-69</c:v>
                </c:pt>
                <c:pt idx="7">
                  <c:v>70-79</c:v>
                </c:pt>
              </c:strCache>
            </c:strRef>
          </c:cat>
          <c:val>
            <c:numRef>
              <c:f>'Pivot Report'!$B$57:$B$65</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0-3C8B-4031-9C6D-190B9FC0D605}"/>
            </c:ext>
          </c:extLst>
        </c:ser>
        <c:dLbls>
          <c:showLegendKey val="0"/>
          <c:showVal val="0"/>
          <c:showCatName val="0"/>
          <c:showSerName val="0"/>
          <c:showPercent val="0"/>
          <c:showBubbleSize val="0"/>
        </c:dLbls>
        <c:gapWidth val="219"/>
        <c:overlap val="-27"/>
        <c:axId val="224742207"/>
        <c:axId val="224739327"/>
      </c:barChart>
      <c:catAx>
        <c:axId val="22474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24739327"/>
        <c:crosses val="autoZero"/>
        <c:auto val="1"/>
        <c:lblAlgn val="ctr"/>
        <c:lblOffset val="100"/>
        <c:noMultiLvlLbl val="0"/>
      </c:catAx>
      <c:valAx>
        <c:axId val="224739327"/>
        <c:scaling>
          <c:orientation val="minMax"/>
        </c:scaling>
        <c:delete val="1"/>
        <c:axPos val="l"/>
        <c:numFmt formatCode="0" sourceLinked="1"/>
        <c:majorTickMark val="none"/>
        <c:minorTickMark val="none"/>
        <c:tickLblPos val="nextTo"/>
        <c:crossAx val="22474220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 (Recovered).xlsx]Pivot Report!PivotTable10</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815956958044212"/>
          <c:y val="0.19424173911977893"/>
          <c:w val="0.6250684045569872"/>
          <c:h val="0.8287101787758816"/>
        </c:manualLayout>
      </c:layout>
      <c:pieChart>
        <c:varyColors val="1"/>
        <c:ser>
          <c:idx val="0"/>
          <c:order val="0"/>
          <c:tx>
            <c:strRef>
              <c:f>'Pivot Report'!$B$68</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D971-41B4-8117-BE51E456806A}"/>
              </c:ext>
            </c:extLst>
          </c:dPt>
          <c:dPt>
            <c:idx val="1"/>
            <c:bubble3D val="0"/>
            <c:spPr>
              <a:solidFill>
                <a:schemeClr val="accent2"/>
              </a:solidFill>
              <a:ln>
                <a:noFill/>
              </a:ln>
              <a:effectLst/>
            </c:spPr>
            <c:extLst>
              <c:ext xmlns:c16="http://schemas.microsoft.com/office/drawing/2014/chart" uri="{C3380CC4-5D6E-409C-BE32-E72D297353CC}">
                <c16:uniqueId val="{00000003-D971-41B4-8117-BE51E456806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Delay</c:v>
                </c:pt>
                <c:pt idx="1">
                  <c:v>OnTime</c:v>
                </c:pt>
              </c:strCache>
            </c:strRef>
          </c:cat>
          <c:val>
            <c:numRef>
              <c:f>'Pivot Report'!$B$69:$B$71</c:f>
              <c:numCache>
                <c:formatCode>0</c:formatCode>
                <c:ptCount val="2"/>
                <c:pt idx="0">
                  <c:v>283</c:v>
                </c:pt>
                <c:pt idx="1">
                  <c:v>148</c:v>
                </c:pt>
              </c:numCache>
            </c:numRef>
          </c:val>
          <c:extLst>
            <c:ext xmlns:c16="http://schemas.microsoft.com/office/drawing/2014/chart" uri="{C3380CC4-5D6E-409C-BE32-E72D297353CC}">
              <c16:uniqueId val="{00000004-5AB0-4E83-9E10-028A1636AA6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6.9865129812396115E-3"/>
          <c:y val="8.2917602935708434E-3"/>
          <c:w val="0.99301310825896039"/>
          <c:h val="0.15239169040769904"/>
        </c:manualLayout>
      </c:layout>
      <c:overlay val="0"/>
      <c:spPr>
        <a:solidFill>
          <a:schemeClr val="lt1">
            <a:alpha val="78000"/>
          </a:schemeClr>
        </a:solidFill>
        <a:ln>
          <a:noFill/>
        </a:ln>
        <a:effectLst/>
      </c:spPr>
      <c:txPr>
        <a:bodyPr rot="0" spcFirstLastPara="1" vertOverflow="ellipsis" vert="horz" wrap="square" anchor="ctr" anchorCtr="1"/>
        <a:lstStyle/>
        <a:p>
          <a:pPr>
            <a:defRPr sz="7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 (Recovered).xlsx]Pivot Report!PivotTable11</c:name>
    <c:fmtId val="18"/>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6982207980017614"/>
          <c:y val="0.30342028899491919"/>
          <c:w val="0.52483704023706712"/>
          <c:h val="0.69657971100508076"/>
        </c:manualLayout>
      </c:layout>
      <c:doughnutChart>
        <c:varyColors val="1"/>
        <c:ser>
          <c:idx val="0"/>
          <c:order val="0"/>
          <c:tx>
            <c:strRef>
              <c:f>'Pivot Report'!$B$75</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86E9-4814-A55F-95DCC12FE585}"/>
              </c:ext>
            </c:extLst>
          </c:dPt>
          <c:dPt>
            <c:idx val="1"/>
            <c:bubble3D val="0"/>
            <c:spPr>
              <a:solidFill>
                <a:schemeClr val="accent2"/>
              </a:solidFill>
              <a:ln>
                <a:noFill/>
              </a:ln>
              <a:effectLst/>
            </c:spPr>
            <c:extLst>
              <c:ext xmlns:c16="http://schemas.microsoft.com/office/drawing/2014/chart" uri="{C3380CC4-5D6E-409C-BE32-E72D297353CC}">
                <c16:uniqueId val="{00000003-86E9-4814-A55F-95DCC12FE585}"/>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Report'!$A$76:$A$78</c:f>
              <c:strCache>
                <c:ptCount val="2"/>
                <c:pt idx="0">
                  <c:v>Female</c:v>
                </c:pt>
                <c:pt idx="1">
                  <c:v>Male</c:v>
                </c:pt>
              </c:strCache>
            </c:strRef>
          </c:cat>
          <c:val>
            <c:numRef>
              <c:f>'Pivot Report'!$B$76:$B$78</c:f>
              <c:numCache>
                <c:formatCode>0.00</c:formatCode>
                <c:ptCount val="2"/>
                <c:pt idx="0">
                  <c:v>194</c:v>
                </c:pt>
                <c:pt idx="1">
                  <c:v>237</c:v>
                </c:pt>
              </c:numCache>
            </c:numRef>
          </c:val>
          <c:extLst>
            <c:ext xmlns:c16="http://schemas.microsoft.com/office/drawing/2014/chart" uri="{C3380CC4-5D6E-409C-BE32-E72D297353CC}">
              <c16:uniqueId val="{00000004-5915-4E22-8B3B-139136A34EF9}"/>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0"/>
          <c:y val="4.9918075006411987E-4"/>
          <c:w val="0.96078765745140493"/>
          <c:h val="0.1547257478280490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 (Recovered).xlsx]Pivot Report!PivotTable12</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273595232255925"/>
          <c:y val="7.9642049748061466E-2"/>
          <c:w val="0.61337809492392903"/>
          <c:h val="0.75153060104663449"/>
        </c:manualLayout>
      </c:layout>
      <c:barChart>
        <c:barDir val="bar"/>
        <c:grouping val="clustered"/>
        <c:varyColors val="0"/>
        <c:ser>
          <c:idx val="0"/>
          <c:order val="0"/>
          <c:tx>
            <c:strRef>
              <c:f>'Pivot Report'!$B$82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Report'!$A$83:$A$91</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 Report'!$B$83:$B$91</c:f>
              <c:numCache>
                <c:formatCode>0</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0-0A6A-45E5-904D-B4C875AC4B73}"/>
            </c:ext>
          </c:extLst>
        </c:ser>
        <c:dLbls>
          <c:showLegendKey val="0"/>
          <c:showVal val="0"/>
          <c:showCatName val="0"/>
          <c:showSerName val="0"/>
          <c:showPercent val="0"/>
          <c:showBubbleSize val="0"/>
        </c:dLbls>
        <c:gapWidth val="31"/>
        <c:axId val="881947615"/>
        <c:axId val="881948095"/>
      </c:barChart>
      <c:catAx>
        <c:axId val="88194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81948095"/>
        <c:crosses val="autoZero"/>
        <c:auto val="1"/>
        <c:lblAlgn val="ctr"/>
        <c:lblOffset val="100"/>
        <c:noMultiLvlLbl val="0"/>
      </c:catAx>
      <c:valAx>
        <c:axId val="881948095"/>
        <c:scaling>
          <c:orientation val="minMax"/>
        </c:scaling>
        <c:delete val="1"/>
        <c:axPos val="b"/>
        <c:numFmt formatCode="0" sourceLinked="1"/>
        <c:majorTickMark val="none"/>
        <c:minorTickMark val="none"/>
        <c:tickLblPos val="nextTo"/>
        <c:crossAx val="8819476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 (Recovered).xlsx]Pivot Report!PivotTable3</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lumMod val="50000"/>
              </a:schemeClr>
            </a:solid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FE7A274-89FF-46D4-BF74-B048AABCB48F}" type="CELLRANGE">
                  <a:rPr lang="en-US"/>
                  <a:pPr>
                    <a:defRPr sz="900" b="0" i="0" u="none" strike="noStrike" kern="1200" baseline="0">
                      <a:solidFill>
                        <a:schemeClr val="lt1">
                          <a:lumMod val="8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C43E1E78-13DC-4C70-8338-DC40B45960A3}" type="CELLRANGE">
                  <a:rPr lang="en-US"/>
                  <a:pPr>
                    <a:defRPr sz="900" b="0" i="0" u="none" strike="noStrike" kern="1200" baseline="0">
                      <a:solidFill>
                        <a:schemeClr val="lt1">
                          <a:lumMod val="8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7693908951036345E-2"/>
              <c:y val="0"/>
            </c:manualLayout>
          </c:layout>
          <c:tx>
            <c:rich>
              <a:bodyPr rot="0" spcFirstLastPara="1" vertOverflow="ellipsis" vert="horz" wrap="non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FE7A274-89FF-46D4-BF74-B048AABCB48F}" type="CELLRANGE">
                  <a:rPr lang="en-US"/>
                  <a:pPr>
                    <a:defRPr sz="900" b="0" i="0" u="none" strike="noStrike" kern="1200" baseline="0">
                      <a:solidFill>
                        <a:schemeClr val="lt1">
                          <a:lumMod val="85000"/>
                        </a:schemeClr>
                      </a:solidFill>
                      <a:latin typeface="+mn-lt"/>
                      <a:ea typeface="+mn-ea"/>
                      <a:cs typeface="+mn-cs"/>
                    </a:defRPr>
                  </a:pPr>
                  <a:t>[CELLRANGE]</a:t>
                </a:fld>
                <a:endParaRPr lang="en-IN"/>
              </a:p>
            </c:rich>
          </c:tx>
          <c:spPr>
            <a:solidFill>
              <a:schemeClr val="bg1">
                <a:lumMod val="50000"/>
              </a:schemeClr>
            </a:solid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08362747759968E-2"/>
              <c:y val="-5.9912161920094089E-17"/>
            </c:manualLayout>
          </c:layout>
          <c:tx>
            <c:rich>
              <a:bodyPr rot="0" spcFirstLastPara="1" vertOverflow="ellipsis" vert="horz" wrap="non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C43E1E78-13DC-4C70-8338-DC40B45960A3}" type="CELLRANGE">
                  <a:rPr lang="en-US"/>
                  <a:pPr>
                    <a:defRPr sz="900" b="0" i="0" u="none" strike="noStrike" kern="1200" baseline="0">
                      <a:solidFill>
                        <a:schemeClr val="lt1">
                          <a:lumMod val="85000"/>
                        </a:schemeClr>
                      </a:solidFill>
                      <a:latin typeface="+mn-lt"/>
                      <a:ea typeface="+mn-ea"/>
                      <a:cs typeface="+mn-cs"/>
                    </a:defRPr>
                  </a:pPr>
                  <a:t>[CELLRANGE]</a:t>
                </a:fld>
                <a:endParaRPr lang="en-IN"/>
              </a:p>
            </c:rich>
          </c:tx>
          <c:spPr>
            <a:solidFill>
              <a:schemeClr val="bg1">
                <a:lumMod val="50000"/>
              </a:schemeClr>
            </a:solid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2.3190010339616644E-2"/>
          <c:y val="0.17663953022821299"/>
          <c:w val="0.95544087498687669"/>
          <c:h val="0.79903732372436487"/>
        </c:manualLayout>
      </c:layout>
      <c:barChart>
        <c:barDir val="bar"/>
        <c:grouping val="clustered"/>
        <c:varyColors val="0"/>
        <c:ser>
          <c:idx val="0"/>
          <c:order val="0"/>
          <c:tx>
            <c:strRef>
              <c:f>'Pivot Report'!$B$40</c:f>
              <c:strCache>
                <c:ptCount val="1"/>
                <c:pt idx="0">
                  <c:v>Count of Patient Admission Flag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21B1-496C-A960-CA1FAB4EC3E9}"/>
              </c:ext>
            </c:extLst>
          </c:dPt>
          <c:dPt>
            <c:idx val="1"/>
            <c:invertIfNegative val="0"/>
            <c:bubble3D val="0"/>
            <c:extLst>
              <c:ext xmlns:c16="http://schemas.microsoft.com/office/drawing/2014/chart" uri="{C3380CC4-5D6E-409C-BE32-E72D297353CC}">
                <c16:uniqueId val="{00000001-21B1-496C-A960-CA1FAB4EC3E9}"/>
              </c:ext>
            </c:extLst>
          </c:dPt>
          <c:dLbls>
            <c:dLbl>
              <c:idx val="0"/>
              <c:layout>
                <c:manualLayout>
                  <c:x val="3.7693908951036345E-2"/>
                  <c:y val="0"/>
                </c:manualLayout>
              </c:layout>
              <c:tx>
                <c:rich>
                  <a:bodyPr/>
                  <a:lstStyle/>
                  <a:p>
                    <a:fld id="{6FE7A274-89FF-46D4-BF74-B048AABCB48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1B1-496C-A960-CA1FAB4EC3E9}"/>
                </c:ext>
              </c:extLst>
            </c:dLbl>
            <c:dLbl>
              <c:idx val="1"/>
              <c:layout>
                <c:manualLayout>
                  <c:x val="3.408362747759968E-2"/>
                  <c:y val="-5.9912161920094089E-17"/>
                </c:manualLayout>
              </c:layout>
              <c:tx>
                <c:rich>
                  <a:bodyPr/>
                  <a:lstStyle/>
                  <a:p>
                    <a:fld id="{C43E1E78-13DC-4C70-8338-DC40B45960A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1B1-496C-A960-CA1FAB4EC3E9}"/>
                </c:ext>
              </c:extLst>
            </c:dLbl>
            <c:spPr>
              <a:solidFill>
                <a:schemeClr val="bg1">
                  <a:lumMod val="50000"/>
                </a:schemeClr>
              </a:solid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Report'!$A$41:$A$43</c:f>
              <c:strCache>
                <c:ptCount val="2"/>
                <c:pt idx="0">
                  <c:v>Admited</c:v>
                </c:pt>
                <c:pt idx="1">
                  <c:v>Not Admited</c:v>
                </c:pt>
              </c:strCache>
            </c:strRef>
          </c:cat>
          <c:val>
            <c:numRef>
              <c:f>'Pivot Report'!$B$41:$B$43</c:f>
              <c:numCache>
                <c:formatCode>0.00</c:formatCode>
                <c:ptCount val="2"/>
                <c:pt idx="0">
                  <c:v>224</c:v>
                </c:pt>
                <c:pt idx="1">
                  <c:v>207</c:v>
                </c:pt>
              </c:numCache>
            </c:numRef>
          </c:val>
          <c:extLst>
            <c:ext xmlns:c16="http://schemas.microsoft.com/office/drawing/2014/chart" uri="{C3380CC4-5D6E-409C-BE32-E72D297353CC}">
              <c16:uniqueId val="{00000002-4B53-4491-8F22-933D9555C614}"/>
            </c:ext>
          </c:extLst>
        </c:ser>
        <c:ser>
          <c:idx val="1"/>
          <c:order val="1"/>
          <c:tx>
            <c:strRef>
              <c:f>'Pivot Report'!$C$40</c:f>
              <c:strCache>
                <c:ptCount val="1"/>
                <c:pt idx="0">
                  <c:v>Count of Patient Admission Flag2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Report'!$A$41:$A$43</c:f>
              <c:strCache>
                <c:ptCount val="2"/>
                <c:pt idx="0">
                  <c:v>Admited</c:v>
                </c:pt>
                <c:pt idx="1">
                  <c:v>Not Admited</c:v>
                </c:pt>
              </c:strCache>
            </c:strRef>
          </c:cat>
          <c:val>
            <c:numRef>
              <c:f>'Pivot Report'!$C$41:$C$43</c:f>
              <c:numCache>
                <c:formatCode>0.00%</c:formatCode>
                <c:ptCount val="2"/>
                <c:pt idx="0">
                  <c:v>0.51972157772621808</c:v>
                </c:pt>
                <c:pt idx="1">
                  <c:v>0.48027842227378192</c:v>
                </c:pt>
              </c:numCache>
            </c:numRef>
          </c:val>
          <c:extLst>
            <c:ext xmlns:c16="http://schemas.microsoft.com/office/drawing/2014/chart" uri="{C3380CC4-5D6E-409C-BE32-E72D297353CC}">
              <c16:uniqueId val="{00000003-4B53-4491-8F22-933D9555C614}"/>
            </c:ext>
          </c:extLst>
        </c:ser>
        <c:dLbls>
          <c:showLegendKey val="0"/>
          <c:showVal val="0"/>
          <c:showCatName val="0"/>
          <c:showSerName val="0"/>
          <c:showPercent val="0"/>
          <c:showBubbleSize val="0"/>
        </c:dLbls>
        <c:gapWidth val="0"/>
        <c:axId val="19497567"/>
        <c:axId val="19498527"/>
      </c:barChart>
      <c:catAx>
        <c:axId val="19497567"/>
        <c:scaling>
          <c:orientation val="minMax"/>
        </c:scaling>
        <c:delete val="1"/>
        <c:axPos val="l"/>
        <c:numFmt formatCode="General" sourceLinked="1"/>
        <c:majorTickMark val="none"/>
        <c:minorTickMark val="none"/>
        <c:tickLblPos val="nextTo"/>
        <c:crossAx val="19498527"/>
        <c:crosses val="autoZero"/>
        <c:auto val="1"/>
        <c:lblAlgn val="ctr"/>
        <c:lblOffset val="100"/>
        <c:noMultiLvlLbl val="0"/>
      </c:catAx>
      <c:valAx>
        <c:axId val="19498527"/>
        <c:scaling>
          <c:orientation val="minMax"/>
        </c:scaling>
        <c:delete val="1"/>
        <c:axPos val="b"/>
        <c:numFmt formatCode="0.00" sourceLinked="1"/>
        <c:majorTickMark val="none"/>
        <c:minorTickMark val="none"/>
        <c:tickLblPos val="nextTo"/>
        <c:crossAx val="1949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 (Recovered).xlsx]Pivot Report!PivotTable6</c:name>
    <c:fmtId val="17"/>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*Use</a:t>
            </a:r>
            <a:r>
              <a:rPr lang="en-US" baseline="0"/>
              <a:t> of area chart to track daily changes and highlight days with longer wait times that might need improvements</a:t>
            </a:r>
            <a:endParaRPr lang="en-US"/>
          </a:p>
        </c:rich>
      </c:tx>
      <c:layout>
        <c:manualLayout>
          <c:xMode val="edge"/>
          <c:yMode val="edge"/>
          <c:x val="0.1132083672914969"/>
          <c:y val="0.8330158730158729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52648257677468E-2"/>
          <c:y val="9.8387301587301593E-2"/>
          <c:w val="0.90246719160105004"/>
          <c:h val="0.63315625546806653"/>
        </c:manualLayout>
      </c:layout>
      <c:areaChart>
        <c:grouping val="standard"/>
        <c:varyColors val="0"/>
        <c:ser>
          <c:idx val="0"/>
          <c:order val="0"/>
          <c:tx>
            <c:strRef>
              <c:f>'Pivot Report'!$I$4</c:f>
              <c:strCache>
                <c:ptCount val="1"/>
                <c:pt idx="0">
                  <c:v>Total</c:v>
                </c:pt>
              </c:strCache>
            </c:strRef>
          </c:tx>
          <c:spPr>
            <a:gradFill>
              <a:gsLst>
                <a:gs pos="100000">
                  <a:schemeClr val="accent1"/>
                </a:gs>
                <a:gs pos="0">
                  <a:schemeClr val="accent1">
                    <a:lumMod val="75000"/>
                  </a:schemeClr>
                </a:gs>
              </a:gsLst>
              <a:lin ang="0" scaled="1"/>
            </a:gradFill>
            <a:ln>
              <a:solidFill>
                <a:schemeClr val="tx1"/>
              </a:solid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Report'!$H$5:$H$34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Report'!$I$5:$I$34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AB6C-4DAD-A094-850FD48DB697}"/>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527902463"/>
        <c:axId val="1527903423"/>
      </c:areaChart>
      <c:catAx>
        <c:axId val="152790246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527903423"/>
        <c:crosses val="autoZero"/>
        <c:auto val="1"/>
        <c:lblAlgn val="ctr"/>
        <c:lblOffset val="100"/>
        <c:noMultiLvlLbl val="0"/>
      </c:catAx>
      <c:valAx>
        <c:axId val="152790342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79024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 (Recovered).xlsx]Pivot Report!PivotTable4</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solidFill>
              <a:sysClr val="windowText" lastClr="000000"/>
            </a:solidFill>
            <a:ln>
              <a:solidFill>
                <a:sysClr val="window" lastClr="FFFFFF">
                  <a:lumMod val="50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pivotFmt>
      <c:pivotFmt>
        <c:idx val="7"/>
      </c:pivotFmt>
      <c:pivotFmt>
        <c:idx val="8"/>
      </c:pivotFmt>
      <c:pivotFmt>
        <c:idx val="9"/>
      </c:pivotFmt>
      <c:pivotFmt>
        <c:idx val="10"/>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
          <c:idx val="0"/>
          <c:spPr>
            <a:solidFill>
              <a:schemeClr val="tx1"/>
            </a:solidFill>
            <a:ln>
              <a:solidFill>
                <a:sysClr val="window" lastClr="FFFFFF">
                  <a:lumMod val="50000"/>
                </a:sysClr>
              </a:solid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
          <c:idx val="0"/>
          <c:spPr>
            <a:solidFill>
              <a:schemeClr val="tx1"/>
            </a:solidFill>
            <a:ln>
              <a:solidFill>
                <a:sysClr val="window" lastClr="FFFFFF">
                  <a:lumMod val="50000"/>
                </a:sysClr>
              </a:solid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dLbl>
          <c:idx val="0"/>
          <c:spPr>
            <a:solidFill>
              <a:schemeClr val="tx1"/>
            </a:solidFill>
            <a:ln>
              <a:solidFill>
                <a:sysClr val="window" lastClr="FFFFFF">
                  <a:lumMod val="50000"/>
                </a:sysClr>
              </a:solid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dLbl>
          <c:idx val="0"/>
          <c:spPr>
            <a:solidFill>
              <a:schemeClr val="tx1"/>
            </a:solidFill>
            <a:ln>
              <a:solidFill>
                <a:sysClr val="window" lastClr="FFFFFF">
                  <a:lumMod val="50000"/>
                </a:sysClr>
              </a:solid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8.2417046424648907E-2"/>
          <c:y val="0.15483902431094601"/>
          <c:w val="0.86850320317602425"/>
          <c:h val="0.56107743095358908"/>
        </c:manualLayout>
      </c:layout>
      <c:areaChart>
        <c:grouping val="standard"/>
        <c:varyColors val="0"/>
        <c:ser>
          <c:idx val="0"/>
          <c:order val="0"/>
          <c:tx>
            <c:strRef>
              <c:f>'Pivot Report'!$L$5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Pt>
            <c:idx val="1"/>
            <c:bubble3D val="0"/>
            <c:extLst>
              <c:ext xmlns:c16="http://schemas.microsoft.com/office/drawing/2014/chart" uri="{C3380CC4-5D6E-409C-BE32-E72D297353CC}">
                <c16:uniqueId val="{00000000-821E-4B1E-BDFD-F54EB796A911}"/>
              </c:ext>
            </c:extLst>
          </c:dPt>
          <c:dPt>
            <c:idx val="7"/>
            <c:bubble3D val="0"/>
            <c:extLst>
              <c:ext xmlns:c16="http://schemas.microsoft.com/office/drawing/2014/chart" uri="{C3380CC4-5D6E-409C-BE32-E72D297353CC}">
                <c16:uniqueId val="{00000001-821E-4B1E-BDFD-F54EB796A911}"/>
              </c:ext>
            </c:extLst>
          </c:dPt>
          <c:dLbls>
            <c:dLbl>
              <c:idx val="1"/>
              <c:spPr>
                <a:solidFill>
                  <a:schemeClr val="tx1"/>
                </a:solidFill>
                <a:ln>
                  <a:solidFill>
                    <a:sysClr val="window" lastClr="FFFFFF">
                      <a:lumMod val="50000"/>
                    </a:sysClr>
                  </a:solid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0-821E-4B1E-BDFD-F54EB796A911}"/>
                </c:ext>
              </c:extLst>
            </c:dLbl>
            <c:dLbl>
              <c:idx val="7"/>
              <c:spPr>
                <a:solidFill>
                  <a:schemeClr val="tx1"/>
                </a:solidFill>
                <a:ln>
                  <a:solidFill>
                    <a:sysClr val="window" lastClr="FFFFFF">
                      <a:lumMod val="50000"/>
                    </a:sysClr>
                  </a:solid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821E-4B1E-BDFD-F54EB796A911}"/>
                </c:ext>
              </c:extLst>
            </c:dLbl>
            <c:spPr>
              <a:solidFill>
                <a:sysClr val="windowText" lastClr="000000"/>
              </a:solidFill>
              <a:ln>
                <a:solidFill>
                  <a:sysClr val="window" lastClr="FFFFFF">
                    <a:lumMod val="50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lt1">
                          <a:lumMod val="50000"/>
                        </a:schemeClr>
                      </a:solidFill>
                      <a:round/>
                    </a:ln>
                    <a:effectLst/>
                  </c:spPr>
                </c15:leaderLines>
              </c:ext>
            </c:extLst>
          </c:dLbls>
          <c:cat>
            <c:strRef>
              <c:f>'Pivot Report'!$K$6:$K$35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Report'!$L$6:$L$35</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7431-4EC3-A79C-2B78C34BFA0C}"/>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390567647"/>
        <c:axId val="1390568127"/>
      </c:areaChart>
      <c:catAx>
        <c:axId val="139056764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crossAx val="1390568127"/>
        <c:crosses val="autoZero"/>
        <c:auto val="1"/>
        <c:lblAlgn val="ctr"/>
        <c:lblOffset val="100"/>
        <c:noMultiLvlLbl val="0"/>
      </c:catAx>
      <c:valAx>
        <c:axId val="139056812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05676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lt1">
          <a:lumMod val="7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 (Recovered).xlsx]Pivot Report!PivotTable7</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496120317253634E-2"/>
          <c:y val="0.19911783238815378"/>
          <c:w val="0.96367650611536271"/>
          <c:h val="0.66931753568611108"/>
        </c:manualLayout>
      </c:layout>
      <c:areaChart>
        <c:grouping val="standard"/>
        <c:varyColors val="0"/>
        <c:ser>
          <c:idx val="0"/>
          <c:order val="0"/>
          <c:tx>
            <c:strRef>
              <c:f>'Pivot Report'!$F$4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Report'!$E$5:$E$33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Report'!$F$5:$F$33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4A50-4751-8CEE-2D04018829F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87672927"/>
        <c:axId val="26725327"/>
      </c:areaChart>
      <c:catAx>
        <c:axId val="148767292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6725327"/>
        <c:crosses val="autoZero"/>
        <c:auto val="1"/>
        <c:lblAlgn val="ctr"/>
        <c:lblOffset val="100"/>
        <c:noMultiLvlLbl val="0"/>
      </c:catAx>
      <c:valAx>
        <c:axId val="26725327"/>
        <c:scaling>
          <c:orientation val="minMax"/>
        </c:scaling>
        <c:delete val="1"/>
        <c:axPos val="l"/>
        <c:numFmt formatCode="0.00" sourceLinked="1"/>
        <c:majorTickMark val="out"/>
        <c:minorTickMark val="none"/>
        <c:tickLblPos val="nextTo"/>
        <c:crossAx val="1487672927"/>
        <c:crosses val="autoZero"/>
        <c:crossBetween val="midCat"/>
      </c:valAx>
      <c:spPr>
        <a:solidFill>
          <a:schemeClr val="accent1">
            <a:lumMod val="75000"/>
          </a:schemeClr>
        </a:solidFill>
        <a:ln>
          <a:solidFill>
            <a:schemeClr val="accent1">
              <a:lumMod val="75000"/>
            </a:schemeClr>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Dialy ER No of Patient'!A1"/><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image" Target="../media/image8.emf"/></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0.png"/><Relationship Id="rId1" Type="http://schemas.openxmlformats.org/officeDocument/2006/relationships/hyperlink" Target="#Dashboard!A1"/><Relationship Id="rId4"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0</xdr:col>
      <xdr:colOff>74558</xdr:colOff>
      <xdr:row>0</xdr:row>
      <xdr:rowOff>77747</xdr:rowOff>
    </xdr:from>
    <xdr:to>
      <xdr:col>5</xdr:col>
      <xdr:colOff>47626</xdr:colOff>
      <xdr:row>2</xdr:row>
      <xdr:rowOff>172997</xdr:rowOff>
    </xdr:to>
    <xdr:sp macro="" textlink="">
      <xdr:nvSpPr>
        <xdr:cNvPr id="2" name="Rectangle: Rounded Corners 1">
          <a:extLst>
            <a:ext uri="{FF2B5EF4-FFF2-40B4-BE49-F238E27FC236}">
              <a16:creationId xmlns:a16="http://schemas.microsoft.com/office/drawing/2014/main" id="{BF077915-AEAC-AFAC-0505-1FB7F2CD32D4}"/>
            </a:ext>
          </a:extLst>
        </xdr:cNvPr>
        <xdr:cNvSpPr/>
      </xdr:nvSpPr>
      <xdr:spPr>
        <a:xfrm>
          <a:off x="74558" y="77747"/>
          <a:ext cx="3015776" cy="47625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5</xdr:col>
      <xdr:colOff>89840</xdr:colOff>
      <xdr:row>0</xdr:row>
      <xdr:rowOff>79433</xdr:rowOff>
    </xdr:from>
    <xdr:to>
      <xdr:col>6</xdr:col>
      <xdr:colOff>561868</xdr:colOff>
      <xdr:row>2</xdr:row>
      <xdr:rowOff>174683</xdr:rowOff>
    </xdr:to>
    <xdr:sp macro="" textlink="">
      <xdr:nvSpPr>
        <xdr:cNvPr id="4" name="Rectangle: Rounded Corners 3">
          <a:extLst>
            <a:ext uri="{FF2B5EF4-FFF2-40B4-BE49-F238E27FC236}">
              <a16:creationId xmlns:a16="http://schemas.microsoft.com/office/drawing/2014/main" id="{24EB283C-50A6-9EC1-B9C5-77C59F272508}"/>
            </a:ext>
          </a:extLst>
        </xdr:cNvPr>
        <xdr:cNvSpPr/>
      </xdr:nvSpPr>
      <xdr:spPr>
        <a:xfrm>
          <a:off x="3139980" y="79433"/>
          <a:ext cx="1082057" cy="480531"/>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80087</xdr:colOff>
      <xdr:row>0</xdr:row>
      <xdr:rowOff>68970</xdr:rowOff>
    </xdr:from>
    <xdr:to>
      <xdr:col>11</xdr:col>
      <xdr:colOff>111838</xdr:colOff>
      <xdr:row>6</xdr:row>
      <xdr:rowOff>8621</xdr:rowOff>
    </xdr:to>
    <xdr:sp macro="" textlink="">
      <xdr:nvSpPr>
        <xdr:cNvPr id="5" name="Rectangle: Rounded Corners 4">
          <a:extLst>
            <a:ext uri="{FF2B5EF4-FFF2-40B4-BE49-F238E27FC236}">
              <a16:creationId xmlns:a16="http://schemas.microsoft.com/office/drawing/2014/main" id="{0B3D023F-FF5E-27B1-55A0-D1668D7DB082}"/>
            </a:ext>
          </a:extLst>
        </xdr:cNvPr>
        <xdr:cNvSpPr/>
      </xdr:nvSpPr>
      <xdr:spPr>
        <a:xfrm>
          <a:off x="5570340" y="68970"/>
          <a:ext cx="1251807" cy="1095494"/>
        </a:xfrm>
        <a:prstGeom prst="roundRect">
          <a:avLst>
            <a:gd name="adj" fmla="val 7041"/>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1735</xdr:colOff>
      <xdr:row>6</xdr:row>
      <xdr:rowOff>36922</xdr:rowOff>
    </xdr:from>
    <xdr:to>
      <xdr:col>11</xdr:col>
      <xdr:colOff>122363</xdr:colOff>
      <xdr:row>15</xdr:row>
      <xdr:rowOff>142755</xdr:rowOff>
    </xdr:to>
    <xdr:sp macro="" textlink="">
      <xdr:nvSpPr>
        <xdr:cNvPr id="6" name="Rectangle: Rounded Corners 5">
          <a:extLst>
            <a:ext uri="{FF2B5EF4-FFF2-40B4-BE49-F238E27FC236}">
              <a16:creationId xmlns:a16="http://schemas.microsoft.com/office/drawing/2014/main" id="{734517A7-5687-EED2-C8DE-C12B57FF0415}"/>
            </a:ext>
          </a:extLst>
        </xdr:cNvPr>
        <xdr:cNvSpPr/>
      </xdr:nvSpPr>
      <xdr:spPr>
        <a:xfrm>
          <a:off x="4269366" y="1192765"/>
          <a:ext cx="2563306" cy="1839597"/>
        </a:xfrm>
        <a:prstGeom prst="roundRect">
          <a:avLst>
            <a:gd name="adj" fmla="val 2885"/>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42333</xdr:colOff>
      <xdr:row>3</xdr:row>
      <xdr:rowOff>58863</xdr:rowOff>
    </xdr:from>
    <xdr:to>
      <xdr:col>1</xdr:col>
      <xdr:colOff>192640</xdr:colOff>
      <xdr:row>15</xdr:row>
      <xdr:rowOff>117724</xdr:rowOff>
    </xdr:to>
    <xdr:sp macro="" textlink="">
      <xdr:nvSpPr>
        <xdr:cNvPr id="7" name="Rectangle: Rounded Corners 6">
          <a:extLst>
            <a:ext uri="{FF2B5EF4-FFF2-40B4-BE49-F238E27FC236}">
              <a16:creationId xmlns:a16="http://schemas.microsoft.com/office/drawing/2014/main" id="{8ADD753F-8C49-3465-5320-680934EBC4A1}"/>
            </a:ext>
          </a:extLst>
        </xdr:cNvPr>
        <xdr:cNvSpPr/>
      </xdr:nvSpPr>
      <xdr:spPr>
        <a:xfrm>
          <a:off x="42333" y="636784"/>
          <a:ext cx="760335" cy="2370547"/>
        </a:xfrm>
        <a:prstGeom prst="roundRect">
          <a:avLst>
            <a:gd name="adj" fmla="val 6029"/>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239587</xdr:colOff>
      <xdr:row>3</xdr:row>
      <xdr:rowOff>53511</xdr:rowOff>
    </xdr:from>
    <xdr:to>
      <xdr:col>3</xdr:col>
      <xdr:colOff>101672</xdr:colOff>
      <xdr:row>6</xdr:row>
      <xdr:rowOff>173712</xdr:rowOff>
    </xdr:to>
    <xdr:sp macro="" textlink="">
      <xdr:nvSpPr>
        <xdr:cNvPr id="8" name="Rectangle: Rounded Corners 7">
          <a:extLst>
            <a:ext uri="{FF2B5EF4-FFF2-40B4-BE49-F238E27FC236}">
              <a16:creationId xmlns:a16="http://schemas.microsoft.com/office/drawing/2014/main" id="{6581F44D-BFDF-AC55-F52C-7096E081BDEF}"/>
            </a:ext>
          </a:extLst>
        </xdr:cNvPr>
        <xdr:cNvSpPr/>
      </xdr:nvSpPr>
      <xdr:spPr>
        <a:xfrm>
          <a:off x="849615" y="631432"/>
          <a:ext cx="1082141" cy="698123"/>
        </a:xfrm>
        <a:prstGeom prst="roundRect">
          <a:avLst>
            <a:gd name="adj" fmla="val 4997"/>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135360</xdr:colOff>
      <xdr:row>3</xdr:row>
      <xdr:rowOff>49807</xdr:rowOff>
    </xdr:from>
    <xdr:to>
      <xdr:col>5</xdr:col>
      <xdr:colOff>90970</xdr:colOff>
      <xdr:row>6</xdr:row>
      <xdr:rowOff>180037</xdr:rowOff>
    </xdr:to>
    <xdr:sp macro="" textlink="">
      <xdr:nvSpPr>
        <xdr:cNvPr id="9" name="Rectangle: Rounded Corners 8">
          <a:extLst>
            <a:ext uri="{FF2B5EF4-FFF2-40B4-BE49-F238E27FC236}">
              <a16:creationId xmlns:a16="http://schemas.microsoft.com/office/drawing/2014/main" id="{6DFF13E3-3FFE-6848-2026-0B103401FA12}"/>
            </a:ext>
          </a:extLst>
        </xdr:cNvPr>
        <xdr:cNvSpPr/>
      </xdr:nvSpPr>
      <xdr:spPr>
        <a:xfrm>
          <a:off x="1965444" y="627728"/>
          <a:ext cx="1175666" cy="708152"/>
        </a:xfrm>
        <a:prstGeom prst="roundRect">
          <a:avLst>
            <a:gd name="adj" fmla="val 4997"/>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117725</xdr:colOff>
      <xdr:row>3</xdr:row>
      <xdr:rowOff>44456</xdr:rowOff>
    </xdr:from>
    <xdr:to>
      <xdr:col>6</xdr:col>
      <xdr:colOff>567219</xdr:colOff>
      <xdr:row>6</xdr:row>
      <xdr:rowOff>174686</xdr:rowOff>
    </xdr:to>
    <xdr:sp macro="" textlink="">
      <xdr:nvSpPr>
        <xdr:cNvPr id="10" name="Rectangle: Rounded Corners 9">
          <a:extLst>
            <a:ext uri="{FF2B5EF4-FFF2-40B4-BE49-F238E27FC236}">
              <a16:creationId xmlns:a16="http://schemas.microsoft.com/office/drawing/2014/main" id="{BDAD8D09-9DF5-2FC2-4E46-960D23655845}"/>
            </a:ext>
          </a:extLst>
        </xdr:cNvPr>
        <xdr:cNvSpPr/>
      </xdr:nvSpPr>
      <xdr:spPr>
        <a:xfrm>
          <a:off x="3167865" y="622377"/>
          <a:ext cx="1059523" cy="708152"/>
        </a:xfrm>
        <a:prstGeom prst="roundRect">
          <a:avLst>
            <a:gd name="adj" fmla="val 4997"/>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240800</xdr:colOff>
      <xdr:row>9</xdr:row>
      <xdr:rowOff>58861</xdr:rowOff>
    </xdr:from>
    <xdr:to>
      <xdr:col>6</xdr:col>
      <xdr:colOff>572568</xdr:colOff>
      <xdr:row>15</xdr:row>
      <xdr:rowOff>132115</xdr:rowOff>
    </xdr:to>
    <xdr:sp macro="" textlink="">
      <xdr:nvSpPr>
        <xdr:cNvPr id="12" name="Rectangle: Rounded Corners 11">
          <a:extLst>
            <a:ext uri="{FF2B5EF4-FFF2-40B4-BE49-F238E27FC236}">
              <a16:creationId xmlns:a16="http://schemas.microsoft.com/office/drawing/2014/main" id="{4007D2F2-C669-91CC-C52A-B5D8ADEFE8BE}"/>
            </a:ext>
          </a:extLst>
        </xdr:cNvPr>
        <xdr:cNvSpPr/>
      </xdr:nvSpPr>
      <xdr:spPr>
        <a:xfrm>
          <a:off x="850828" y="1792625"/>
          <a:ext cx="3381909" cy="1229097"/>
        </a:xfrm>
        <a:prstGeom prst="roundRect">
          <a:avLst>
            <a:gd name="adj" fmla="val 0"/>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225627</xdr:colOff>
      <xdr:row>7</xdr:row>
      <xdr:rowOff>21168</xdr:rowOff>
    </xdr:from>
    <xdr:to>
      <xdr:col>6</xdr:col>
      <xdr:colOff>551165</xdr:colOff>
      <xdr:row>9</xdr:row>
      <xdr:rowOff>15876</xdr:rowOff>
    </xdr:to>
    <xdr:sp macro="" textlink="">
      <xdr:nvSpPr>
        <xdr:cNvPr id="13" name="Rectangle: Rounded Corners 12">
          <a:extLst>
            <a:ext uri="{FF2B5EF4-FFF2-40B4-BE49-F238E27FC236}">
              <a16:creationId xmlns:a16="http://schemas.microsoft.com/office/drawing/2014/main" id="{975913E2-A3AC-C95E-58EE-5A23327F3A36}"/>
            </a:ext>
          </a:extLst>
        </xdr:cNvPr>
        <xdr:cNvSpPr/>
      </xdr:nvSpPr>
      <xdr:spPr>
        <a:xfrm>
          <a:off x="835655" y="1369651"/>
          <a:ext cx="3375679" cy="379989"/>
        </a:xfrm>
        <a:prstGeom prst="roundRect">
          <a:avLst>
            <a:gd name="adj" fmla="val 14045"/>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10703</xdr:colOff>
      <xdr:row>0</xdr:row>
      <xdr:rowOff>58325</xdr:rowOff>
    </xdr:from>
    <xdr:to>
      <xdr:col>9</xdr:col>
      <xdr:colOff>52503</xdr:colOff>
      <xdr:row>6</xdr:row>
      <xdr:rowOff>1089</xdr:rowOff>
    </xdr:to>
    <xdr:sp macro="" textlink="">
      <xdr:nvSpPr>
        <xdr:cNvPr id="25" name="Rectangle: Rounded Corners 24">
          <a:extLst>
            <a:ext uri="{FF2B5EF4-FFF2-40B4-BE49-F238E27FC236}">
              <a16:creationId xmlns:a16="http://schemas.microsoft.com/office/drawing/2014/main" id="{B9806CB7-ED1F-D930-E74D-849EDE352B1B}"/>
            </a:ext>
          </a:extLst>
        </xdr:cNvPr>
        <xdr:cNvSpPr/>
      </xdr:nvSpPr>
      <xdr:spPr>
        <a:xfrm>
          <a:off x="4280900" y="58325"/>
          <a:ext cx="1261856" cy="1095494"/>
        </a:xfrm>
        <a:prstGeom prst="roundRect">
          <a:avLst>
            <a:gd name="adj" fmla="val 7041"/>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108034</xdr:colOff>
      <xdr:row>0</xdr:row>
      <xdr:rowOff>47923</xdr:rowOff>
    </xdr:from>
    <xdr:to>
      <xdr:col>5</xdr:col>
      <xdr:colOff>166243</xdr:colOff>
      <xdr:row>1</xdr:row>
      <xdr:rowOff>132589</xdr:rowOff>
    </xdr:to>
    <xdr:sp macro="" textlink="">
      <xdr:nvSpPr>
        <xdr:cNvPr id="29" name="TextBox 28">
          <a:extLst>
            <a:ext uri="{FF2B5EF4-FFF2-40B4-BE49-F238E27FC236}">
              <a16:creationId xmlns:a16="http://schemas.microsoft.com/office/drawing/2014/main" id="{E74C60DB-BC9F-C625-EFE4-B7201B793B24}"/>
            </a:ext>
          </a:extLst>
        </xdr:cNvPr>
        <xdr:cNvSpPr txBox="1"/>
      </xdr:nvSpPr>
      <xdr:spPr>
        <a:xfrm>
          <a:off x="718062" y="47923"/>
          <a:ext cx="2498321" cy="277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Hospital</a:t>
          </a:r>
          <a:r>
            <a:rPr lang="en-IN" sz="1100" baseline="0"/>
            <a:t> Emergency Room Dashboard</a:t>
          </a:r>
        </a:p>
        <a:p>
          <a:endParaRPr lang="en-IN" sz="1100"/>
        </a:p>
      </xdr:txBody>
    </xdr:sp>
    <xdr:clientData/>
  </xdr:twoCellAnchor>
  <xdr:twoCellAnchor editAs="oneCell">
    <xdr:from>
      <xdr:col>0</xdr:col>
      <xdr:colOff>149831</xdr:colOff>
      <xdr:row>0</xdr:row>
      <xdr:rowOff>69562</xdr:rowOff>
    </xdr:from>
    <xdr:to>
      <xdr:col>1</xdr:col>
      <xdr:colOff>128427</xdr:colOff>
      <xdr:row>3</xdr:row>
      <xdr:rowOff>5351</xdr:rowOff>
    </xdr:to>
    <xdr:pic>
      <xdr:nvPicPr>
        <xdr:cNvPr id="31" name="Picture 30">
          <a:extLst>
            <a:ext uri="{FF2B5EF4-FFF2-40B4-BE49-F238E27FC236}">
              <a16:creationId xmlns:a16="http://schemas.microsoft.com/office/drawing/2014/main" id="{573E98D3-43C7-5856-D4E6-9E14BAB14A0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7168" r="21387"/>
        <a:stretch>
          <a:fillRect/>
        </a:stretch>
      </xdr:blipFill>
      <xdr:spPr>
        <a:xfrm>
          <a:off x="149831" y="69562"/>
          <a:ext cx="588624" cy="513710"/>
        </a:xfrm>
        <a:prstGeom prst="rect">
          <a:avLst/>
        </a:prstGeom>
      </xdr:spPr>
    </xdr:pic>
    <xdr:clientData/>
  </xdr:twoCellAnchor>
  <xdr:twoCellAnchor editAs="absolute">
    <xdr:from>
      <xdr:col>2</xdr:col>
      <xdr:colOff>85619</xdr:colOff>
      <xdr:row>1</xdr:row>
      <xdr:rowOff>42809</xdr:rowOff>
    </xdr:from>
    <xdr:to>
      <xdr:col>4</xdr:col>
      <xdr:colOff>599327</xdr:colOff>
      <xdr:row>2</xdr:row>
      <xdr:rowOff>112372</xdr:rowOff>
    </xdr:to>
    <xdr:sp macro="" textlink="">
      <xdr:nvSpPr>
        <xdr:cNvPr id="32" name="TextBox 31">
          <a:extLst>
            <a:ext uri="{FF2B5EF4-FFF2-40B4-BE49-F238E27FC236}">
              <a16:creationId xmlns:a16="http://schemas.microsoft.com/office/drawing/2014/main" id="{B92D5D3E-CB44-3D4C-B9A0-445C3FADEBE4}"/>
            </a:ext>
          </a:extLst>
        </xdr:cNvPr>
        <xdr:cNvSpPr txBox="1"/>
      </xdr:nvSpPr>
      <xdr:spPr>
        <a:xfrm>
          <a:off x="1305675" y="235449"/>
          <a:ext cx="1733764" cy="262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Monthly</a:t>
          </a:r>
          <a:r>
            <a:rPr lang="en-IN" sz="1100" baseline="0"/>
            <a:t> Report</a:t>
          </a:r>
          <a:endParaRPr lang="en-IN" sz="1100"/>
        </a:p>
      </xdr:txBody>
    </xdr:sp>
    <xdr:clientData/>
  </xdr:twoCellAnchor>
  <xdr:twoCellAnchor editAs="absolute">
    <xdr:from>
      <xdr:col>1</xdr:col>
      <xdr:colOff>454847</xdr:colOff>
      <xdr:row>4</xdr:row>
      <xdr:rowOff>149832</xdr:rowOff>
    </xdr:from>
    <xdr:to>
      <xdr:col>2</xdr:col>
      <xdr:colOff>540465</xdr:colOff>
      <xdr:row>6</xdr:row>
      <xdr:rowOff>5350</xdr:rowOff>
    </xdr:to>
    <xdr:sp macro="" textlink="">
      <xdr:nvSpPr>
        <xdr:cNvPr id="33" name="TextBox 32">
          <a:extLst>
            <a:ext uri="{FF2B5EF4-FFF2-40B4-BE49-F238E27FC236}">
              <a16:creationId xmlns:a16="http://schemas.microsoft.com/office/drawing/2014/main" id="{DA3BE05C-7597-C3F8-57C9-534A5025C26B}"/>
            </a:ext>
          </a:extLst>
        </xdr:cNvPr>
        <xdr:cNvSpPr txBox="1"/>
      </xdr:nvSpPr>
      <xdr:spPr>
        <a:xfrm>
          <a:off x="1064875" y="920394"/>
          <a:ext cx="695646" cy="240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a:t>No.of</a:t>
          </a:r>
          <a:r>
            <a:rPr lang="en-IN" sz="700" baseline="0"/>
            <a:t> Patient</a:t>
          </a:r>
        </a:p>
        <a:p>
          <a:endParaRPr lang="en-IN" sz="1100"/>
        </a:p>
      </xdr:txBody>
    </xdr:sp>
    <xdr:clientData/>
  </xdr:twoCellAnchor>
  <xdr:twoCellAnchor editAs="absolute">
    <xdr:from>
      <xdr:col>1</xdr:col>
      <xdr:colOff>395984</xdr:colOff>
      <xdr:row>3</xdr:row>
      <xdr:rowOff>91447</xdr:rowOff>
    </xdr:from>
    <xdr:to>
      <xdr:col>2</xdr:col>
      <xdr:colOff>321068</xdr:colOff>
      <xdr:row>4</xdr:row>
      <xdr:rowOff>149831</xdr:rowOff>
    </xdr:to>
    <xdr:sp macro="" textlink="'Pivot Report'!A5">
      <xdr:nvSpPr>
        <xdr:cNvPr id="34" name="TextBox 33">
          <a:extLst>
            <a:ext uri="{FF2B5EF4-FFF2-40B4-BE49-F238E27FC236}">
              <a16:creationId xmlns:a16="http://schemas.microsoft.com/office/drawing/2014/main" id="{25B16C22-DFB4-1265-B4F3-644D53C9A2E3}"/>
            </a:ext>
          </a:extLst>
        </xdr:cNvPr>
        <xdr:cNvSpPr txBox="1"/>
      </xdr:nvSpPr>
      <xdr:spPr>
        <a:xfrm>
          <a:off x="1006012" y="669368"/>
          <a:ext cx="535112" cy="25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80AA31-9726-4196-9496-D15F97576AEE}" type="TxLink">
            <a:rPr lang="en-US" sz="1100" b="0" i="0" u="none" strike="noStrike">
              <a:solidFill>
                <a:srgbClr val="000000"/>
              </a:solidFill>
              <a:latin typeface="Calibri"/>
              <a:ea typeface="Calibri"/>
              <a:cs typeface="Calibri"/>
            </a:rPr>
            <a:pPr/>
            <a:t>431</a:t>
          </a:fld>
          <a:endParaRPr lang="en-US" sz="1100"/>
        </a:p>
      </xdr:txBody>
    </xdr:sp>
    <xdr:clientData/>
  </xdr:twoCellAnchor>
  <xdr:twoCellAnchor editAs="absolute">
    <xdr:from>
      <xdr:col>3</xdr:col>
      <xdr:colOff>288963</xdr:colOff>
      <xdr:row>4</xdr:row>
      <xdr:rowOff>149832</xdr:rowOff>
    </xdr:from>
    <xdr:to>
      <xdr:col>4</xdr:col>
      <xdr:colOff>604677</xdr:colOff>
      <xdr:row>5</xdr:row>
      <xdr:rowOff>176587</xdr:rowOff>
    </xdr:to>
    <xdr:sp macro="" textlink="">
      <xdr:nvSpPr>
        <xdr:cNvPr id="35" name="TextBox 34">
          <a:extLst>
            <a:ext uri="{FF2B5EF4-FFF2-40B4-BE49-F238E27FC236}">
              <a16:creationId xmlns:a16="http://schemas.microsoft.com/office/drawing/2014/main" id="{E960F7EA-1C92-035A-3733-CAB69D6D8E1F}"/>
            </a:ext>
          </a:extLst>
        </xdr:cNvPr>
        <xdr:cNvSpPr txBox="1"/>
      </xdr:nvSpPr>
      <xdr:spPr>
        <a:xfrm>
          <a:off x="2119047" y="920394"/>
          <a:ext cx="925742" cy="219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Average</a:t>
          </a:r>
          <a:r>
            <a:rPr lang="en-IN" sz="700" baseline="0"/>
            <a:t> Wait Time</a:t>
          </a:r>
          <a:endParaRPr lang="en-IN" sz="700"/>
        </a:p>
      </xdr:txBody>
    </xdr:sp>
    <xdr:clientData/>
  </xdr:twoCellAnchor>
  <xdr:twoCellAnchor editAs="absolute">
    <xdr:from>
      <xdr:col>5</xdr:col>
      <xdr:colOff>310258</xdr:colOff>
      <xdr:row>3</xdr:row>
      <xdr:rowOff>90968</xdr:rowOff>
    </xdr:from>
    <xdr:to>
      <xdr:col>6</xdr:col>
      <xdr:colOff>199849</xdr:colOff>
      <xdr:row>4</xdr:row>
      <xdr:rowOff>128426</xdr:rowOff>
    </xdr:to>
    <xdr:sp macro="" textlink="'Pivot Report'!A14">
      <xdr:nvSpPr>
        <xdr:cNvPr id="36" name="TextBox 35">
          <a:extLst>
            <a:ext uri="{FF2B5EF4-FFF2-40B4-BE49-F238E27FC236}">
              <a16:creationId xmlns:a16="http://schemas.microsoft.com/office/drawing/2014/main" id="{638AF199-FB65-6E1D-490E-9E4E93507D21}"/>
            </a:ext>
          </a:extLst>
        </xdr:cNvPr>
        <xdr:cNvSpPr txBox="1"/>
      </xdr:nvSpPr>
      <xdr:spPr>
        <a:xfrm>
          <a:off x="3360398" y="668889"/>
          <a:ext cx="499620" cy="230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76B029-2492-4AE6-A3E1-9ABB5A09B491}" type="TxLink">
            <a:rPr lang="en-US" sz="1100" b="0" i="0" u="none" strike="noStrike">
              <a:solidFill>
                <a:srgbClr val="000000"/>
              </a:solidFill>
              <a:latin typeface="Calibri"/>
              <a:ea typeface="Calibri"/>
              <a:cs typeface="Calibri"/>
            </a:rPr>
            <a:pPr/>
            <a:t>4.72</a:t>
          </a:fld>
          <a:endParaRPr lang="en-US" sz="1100"/>
        </a:p>
      </xdr:txBody>
    </xdr:sp>
    <xdr:clientData/>
  </xdr:twoCellAnchor>
  <xdr:twoCellAnchor editAs="absolute">
    <xdr:from>
      <xdr:col>5</xdr:col>
      <xdr:colOff>117726</xdr:colOff>
      <xdr:row>4</xdr:row>
      <xdr:rowOff>101670</xdr:rowOff>
    </xdr:from>
    <xdr:to>
      <xdr:col>6</xdr:col>
      <xdr:colOff>535113</xdr:colOff>
      <xdr:row>5</xdr:row>
      <xdr:rowOff>128427</xdr:rowOff>
    </xdr:to>
    <xdr:sp macro="" textlink="">
      <xdr:nvSpPr>
        <xdr:cNvPr id="37" name="TextBox 36">
          <a:extLst>
            <a:ext uri="{FF2B5EF4-FFF2-40B4-BE49-F238E27FC236}">
              <a16:creationId xmlns:a16="http://schemas.microsoft.com/office/drawing/2014/main" id="{00158BAA-3EBF-B79D-7965-F4C8F3BBB053}"/>
            </a:ext>
          </a:extLst>
        </xdr:cNvPr>
        <xdr:cNvSpPr txBox="1"/>
      </xdr:nvSpPr>
      <xdr:spPr>
        <a:xfrm>
          <a:off x="3167866" y="872232"/>
          <a:ext cx="1027416" cy="219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600"/>
            <a:t>Patient Satisfaction</a:t>
          </a:r>
          <a:r>
            <a:rPr lang="en-IN" sz="600" baseline="0"/>
            <a:t> score</a:t>
          </a:r>
          <a:endParaRPr lang="en-IN" sz="1000"/>
        </a:p>
      </xdr:txBody>
    </xdr:sp>
    <xdr:clientData/>
  </xdr:twoCellAnchor>
  <xdr:twoCellAnchor editAs="absolute">
    <xdr:from>
      <xdr:col>3</xdr:col>
      <xdr:colOff>395983</xdr:colOff>
      <xdr:row>3</xdr:row>
      <xdr:rowOff>80267</xdr:rowOff>
    </xdr:from>
    <xdr:to>
      <xdr:col>4</xdr:col>
      <xdr:colOff>338978</xdr:colOff>
      <xdr:row>4</xdr:row>
      <xdr:rowOff>165884</xdr:rowOff>
    </xdr:to>
    <xdr:sp macro="" textlink="'Pivot Report'!A9">
      <xdr:nvSpPr>
        <xdr:cNvPr id="39" name="TextBox 38">
          <a:extLst>
            <a:ext uri="{FF2B5EF4-FFF2-40B4-BE49-F238E27FC236}">
              <a16:creationId xmlns:a16="http://schemas.microsoft.com/office/drawing/2014/main" id="{136AA8C3-D11F-BF2F-6ABE-5DECDACCDBD5}"/>
            </a:ext>
          </a:extLst>
        </xdr:cNvPr>
        <xdr:cNvSpPr txBox="1"/>
      </xdr:nvSpPr>
      <xdr:spPr>
        <a:xfrm>
          <a:off x="2226067" y="658188"/>
          <a:ext cx="553023" cy="278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80FE6F-A128-4FF4-BD3B-568EFA1DCE1F}" type="TxLink">
            <a:rPr lang="en-US" sz="1100" b="0" i="0" u="none" strike="noStrike">
              <a:solidFill>
                <a:srgbClr val="000000"/>
              </a:solidFill>
              <a:latin typeface="Calibri"/>
              <a:ea typeface="Calibri"/>
              <a:cs typeface="Calibri"/>
            </a:rPr>
            <a:pPr/>
            <a:t>36.67</a:t>
          </a:fld>
          <a:endParaRPr lang="en-US" sz="1100"/>
        </a:p>
      </xdr:txBody>
    </xdr:sp>
    <xdr:clientData/>
  </xdr:twoCellAnchor>
  <xdr:twoCellAnchor editAs="oneCell">
    <xdr:from>
      <xdr:col>2</xdr:col>
      <xdr:colOff>390632</xdr:colOff>
      <xdr:row>3</xdr:row>
      <xdr:rowOff>80268</xdr:rowOff>
    </xdr:from>
    <xdr:to>
      <xdr:col>3</xdr:col>
      <xdr:colOff>85618</xdr:colOff>
      <xdr:row>4</xdr:row>
      <xdr:rowOff>157927</xdr:rowOff>
    </xdr:to>
    <xdr:pic>
      <xdr:nvPicPr>
        <xdr:cNvPr id="41" name="Graphic 40" descr="Male profile with solid fill">
          <a:extLst>
            <a:ext uri="{FF2B5EF4-FFF2-40B4-BE49-F238E27FC236}">
              <a16:creationId xmlns:a16="http://schemas.microsoft.com/office/drawing/2014/main" id="{9B8EB820-17C0-C08C-DEBF-F9154251CEF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10688" y="658189"/>
          <a:ext cx="305014" cy="270300"/>
        </a:xfrm>
        <a:prstGeom prst="rect">
          <a:avLst/>
        </a:prstGeom>
      </xdr:spPr>
    </xdr:pic>
    <xdr:clientData/>
  </xdr:twoCellAnchor>
  <xdr:twoCellAnchor editAs="oneCell">
    <xdr:from>
      <xdr:col>6</xdr:col>
      <xdr:colOff>251503</xdr:colOff>
      <xdr:row>3</xdr:row>
      <xdr:rowOff>69565</xdr:rowOff>
    </xdr:from>
    <xdr:to>
      <xdr:col>6</xdr:col>
      <xdr:colOff>518417</xdr:colOff>
      <xdr:row>4</xdr:row>
      <xdr:rowOff>143838</xdr:rowOff>
    </xdr:to>
    <xdr:pic>
      <xdr:nvPicPr>
        <xdr:cNvPr id="43" name="Graphic 42" descr="Customer review with solid fill">
          <a:extLst>
            <a:ext uri="{FF2B5EF4-FFF2-40B4-BE49-F238E27FC236}">
              <a16:creationId xmlns:a16="http://schemas.microsoft.com/office/drawing/2014/main" id="{86FE50BA-8D01-6FD5-02D4-091199CB169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911672" y="647486"/>
          <a:ext cx="266914" cy="266914"/>
        </a:xfrm>
        <a:prstGeom prst="rect">
          <a:avLst/>
        </a:prstGeom>
      </xdr:spPr>
    </xdr:pic>
    <xdr:clientData/>
  </xdr:twoCellAnchor>
  <xdr:twoCellAnchor editAs="oneCell">
    <xdr:from>
      <xdr:col>4</xdr:col>
      <xdr:colOff>390632</xdr:colOff>
      <xdr:row>3</xdr:row>
      <xdr:rowOff>74918</xdr:rowOff>
    </xdr:from>
    <xdr:to>
      <xdr:col>5</xdr:col>
      <xdr:colOff>90968</xdr:colOff>
      <xdr:row>4</xdr:row>
      <xdr:rowOff>133778</xdr:rowOff>
    </xdr:to>
    <xdr:pic>
      <xdr:nvPicPr>
        <xdr:cNvPr id="45" name="Graphic 44" descr="Hourglass Finished with solid fill">
          <a:extLst>
            <a:ext uri="{FF2B5EF4-FFF2-40B4-BE49-F238E27FC236}">
              <a16:creationId xmlns:a16="http://schemas.microsoft.com/office/drawing/2014/main" id="{903CF3A9-6138-34F3-0322-05E28458E57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830744" y="652839"/>
          <a:ext cx="310364" cy="251501"/>
        </a:xfrm>
        <a:prstGeom prst="rect">
          <a:avLst/>
        </a:prstGeom>
      </xdr:spPr>
    </xdr:pic>
    <xdr:clientData/>
  </xdr:twoCellAnchor>
  <xdr:twoCellAnchor editAs="oneCell">
    <xdr:from>
      <xdr:col>0</xdr:col>
      <xdr:colOff>19307</xdr:colOff>
      <xdr:row>3</xdr:row>
      <xdr:rowOff>58863</xdr:rowOff>
    </xdr:from>
    <xdr:to>
      <xdr:col>1</xdr:col>
      <xdr:colOff>199510</xdr:colOff>
      <xdr:row>15</xdr:row>
      <xdr:rowOff>122280</xdr:rowOff>
    </xdr:to>
    <mc:AlternateContent xmlns:mc="http://schemas.openxmlformats.org/markup-compatibility/2006" xmlns:a14="http://schemas.microsoft.com/office/drawing/2010/main">
      <mc:Choice Requires="a14">
        <xdr:graphicFrame macro="">
          <xdr:nvGraphicFramePr>
            <xdr:cNvPr id="46" name="Date (Month)">
              <a:extLst>
                <a:ext uri="{FF2B5EF4-FFF2-40B4-BE49-F238E27FC236}">
                  <a16:creationId xmlns:a16="http://schemas.microsoft.com/office/drawing/2014/main" id="{0C6FADCC-83F9-4182-8CBD-4CC7276E188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3510" y="636784"/>
              <a:ext cx="711701" cy="22474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224747</xdr:colOff>
      <xdr:row>5</xdr:row>
      <xdr:rowOff>96319</xdr:rowOff>
    </xdr:from>
    <xdr:to>
      <xdr:col>3</xdr:col>
      <xdr:colOff>123077</xdr:colOff>
      <xdr:row>7</xdr:row>
      <xdr:rowOff>130736</xdr:rowOff>
    </xdr:to>
    <xdr:graphicFrame macro="">
      <xdr:nvGraphicFramePr>
        <xdr:cNvPr id="3" name="Chart 2">
          <a:hlinkClick xmlns:r="http://schemas.openxmlformats.org/officeDocument/2006/relationships" r:id="rId8"/>
          <a:extLst>
            <a:ext uri="{FF2B5EF4-FFF2-40B4-BE49-F238E27FC236}">
              <a16:creationId xmlns:a16="http://schemas.microsoft.com/office/drawing/2014/main" id="{D6A99BC0-85AB-4EFB-9607-CA4FFD602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128427</xdr:colOff>
      <xdr:row>5</xdr:row>
      <xdr:rowOff>171236</xdr:rowOff>
    </xdr:from>
    <xdr:to>
      <xdr:col>5</xdr:col>
      <xdr:colOff>107023</xdr:colOff>
      <xdr:row>6</xdr:row>
      <xdr:rowOff>187290</xdr:rowOff>
    </xdr:to>
    <xdr:graphicFrame macro="">
      <xdr:nvGraphicFramePr>
        <xdr:cNvPr id="14" name="Chart 13">
          <a:hlinkClick xmlns:r="http://schemas.openxmlformats.org/officeDocument/2006/relationships" r:id="rId10"/>
          <a:extLst>
            <a:ext uri="{FF2B5EF4-FFF2-40B4-BE49-F238E27FC236}">
              <a16:creationId xmlns:a16="http://schemas.microsoft.com/office/drawing/2014/main" id="{2B6E4926-0C2F-408F-B842-C304FB576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96321</xdr:colOff>
      <xdr:row>5</xdr:row>
      <xdr:rowOff>37457</xdr:rowOff>
    </xdr:from>
    <xdr:to>
      <xdr:col>6</xdr:col>
      <xdr:colOff>577920</xdr:colOff>
      <xdr:row>7</xdr:row>
      <xdr:rowOff>0</xdr:rowOff>
    </xdr:to>
    <xdr:graphicFrame macro="">
      <xdr:nvGraphicFramePr>
        <xdr:cNvPr id="15" name="Chart 14">
          <a:hlinkClick xmlns:r="http://schemas.openxmlformats.org/officeDocument/2006/relationships" r:id="rId12"/>
          <a:extLst>
            <a:ext uri="{FF2B5EF4-FFF2-40B4-BE49-F238E27FC236}">
              <a16:creationId xmlns:a16="http://schemas.microsoft.com/office/drawing/2014/main" id="{598C6D12-E497-4504-B4FE-AF7890D64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219397</xdr:colOff>
          <xdr:row>7</xdr:row>
          <xdr:rowOff>16054</xdr:rowOff>
        </xdr:from>
        <xdr:to>
          <xdr:col>6</xdr:col>
          <xdr:colOff>567220</xdr:colOff>
          <xdr:row>9</xdr:row>
          <xdr:rowOff>48160</xdr:rowOff>
        </xdr:to>
        <xdr:pic>
          <xdr:nvPicPr>
            <xdr:cNvPr id="16" name="Picture 15">
              <a:extLst>
                <a:ext uri="{FF2B5EF4-FFF2-40B4-BE49-F238E27FC236}">
                  <a16:creationId xmlns:a16="http://schemas.microsoft.com/office/drawing/2014/main" id="{95CA5272-E2E7-05D7-6FC9-7EBEE42BB1E5}"/>
                </a:ext>
              </a:extLst>
            </xdr:cNvPr>
            <xdr:cNvPicPr>
              <a:picLocks noChangeAspect="1" noChangeArrowheads="1"/>
              <a:extLst>
                <a:ext uri="{84589F7E-364E-4C9E-8A38-B11213B215E9}">
                  <a14:cameraTool cellRange="'Pivot Report'!$A$47:$D$49" spid="_x0000_s3084"/>
                </a:ext>
              </a:extLst>
            </xdr:cNvPicPr>
          </xdr:nvPicPr>
          <xdr:blipFill>
            <a:blip xmlns:r="http://schemas.openxmlformats.org/officeDocument/2006/relationships" r:embed="rId14"/>
            <a:stretch>
              <a:fillRect/>
            </a:stretch>
          </xdr:blipFill>
          <xdr:spPr bwMode="auto">
            <a:xfrm>
              <a:off x="829425" y="1364537"/>
              <a:ext cx="3397964" cy="417387"/>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305015</xdr:colOff>
      <xdr:row>9</xdr:row>
      <xdr:rowOff>58863</xdr:rowOff>
    </xdr:from>
    <xdr:to>
      <xdr:col>7</xdr:col>
      <xdr:colOff>21404</xdr:colOff>
      <xdr:row>15</xdr:row>
      <xdr:rowOff>128428</xdr:rowOff>
    </xdr:to>
    <xdr:graphicFrame macro="">
      <xdr:nvGraphicFramePr>
        <xdr:cNvPr id="17" name="Chart 16">
          <a:extLst>
            <a:ext uri="{FF2B5EF4-FFF2-40B4-BE49-F238E27FC236}">
              <a16:creationId xmlns:a16="http://schemas.microsoft.com/office/drawing/2014/main" id="{79E38D36-A305-4C97-8CCF-CA22DE31F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460198</xdr:colOff>
      <xdr:row>14</xdr:row>
      <xdr:rowOff>112374</xdr:rowOff>
    </xdr:from>
    <xdr:to>
      <xdr:col>5</xdr:col>
      <xdr:colOff>187290</xdr:colOff>
      <xdr:row>15</xdr:row>
      <xdr:rowOff>96320</xdr:rowOff>
    </xdr:to>
    <xdr:sp macro="" textlink="">
      <xdr:nvSpPr>
        <xdr:cNvPr id="19" name="TextBox 18">
          <a:extLst>
            <a:ext uri="{FF2B5EF4-FFF2-40B4-BE49-F238E27FC236}">
              <a16:creationId xmlns:a16="http://schemas.microsoft.com/office/drawing/2014/main" id="{655BEDD4-9920-427A-B91F-240F4EF5AE92}"/>
            </a:ext>
          </a:extLst>
        </xdr:cNvPr>
        <xdr:cNvSpPr txBox="1"/>
      </xdr:nvSpPr>
      <xdr:spPr>
        <a:xfrm>
          <a:off x="1680254" y="2809340"/>
          <a:ext cx="1557176" cy="176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IN" sz="700" baseline="0"/>
            <a:t>No. of patient by age group</a:t>
          </a:r>
        </a:p>
        <a:p>
          <a:endParaRPr lang="en-IN" sz="1100"/>
        </a:p>
      </xdr:txBody>
    </xdr:sp>
    <xdr:clientData/>
  </xdr:twoCellAnchor>
  <xdr:twoCellAnchor>
    <xdr:from>
      <xdr:col>7</xdr:col>
      <xdr:colOff>26754</xdr:colOff>
      <xdr:row>0</xdr:row>
      <xdr:rowOff>51486</xdr:rowOff>
    </xdr:from>
    <xdr:to>
      <xdr:col>9</xdr:col>
      <xdr:colOff>32107</xdr:colOff>
      <xdr:row>5</xdr:row>
      <xdr:rowOff>96320</xdr:rowOff>
    </xdr:to>
    <xdr:graphicFrame macro="">
      <xdr:nvGraphicFramePr>
        <xdr:cNvPr id="20" name="Chart 19">
          <a:extLst>
            <a:ext uri="{FF2B5EF4-FFF2-40B4-BE49-F238E27FC236}">
              <a16:creationId xmlns:a16="http://schemas.microsoft.com/office/drawing/2014/main" id="{016B453D-0492-4724-8B3B-D9377879B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181937</xdr:colOff>
      <xdr:row>5</xdr:row>
      <xdr:rowOff>26755</xdr:rowOff>
    </xdr:from>
    <xdr:to>
      <xdr:col>8</xdr:col>
      <xdr:colOff>540463</xdr:colOff>
      <xdr:row>6</xdr:row>
      <xdr:rowOff>10701</xdr:rowOff>
    </xdr:to>
    <xdr:sp macro="" textlink="">
      <xdr:nvSpPr>
        <xdr:cNvPr id="22" name="TextBox 21">
          <a:extLst>
            <a:ext uri="{FF2B5EF4-FFF2-40B4-BE49-F238E27FC236}">
              <a16:creationId xmlns:a16="http://schemas.microsoft.com/office/drawing/2014/main" id="{1C5B2361-5654-4661-A6A4-53826D6CE42B}"/>
            </a:ext>
          </a:extLst>
        </xdr:cNvPr>
        <xdr:cNvSpPr txBox="1"/>
      </xdr:nvSpPr>
      <xdr:spPr>
        <a:xfrm>
          <a:off x="4452134" y="989957"/>
          <a:ext cx="968554" cy="176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IN" sz="700" baseline="0"/>
            <a:t>Patient Attend Status</a:t>
          </a:r>
        </a:p>
        <a:p>
          <a:pPr lvl="0"/>
          <a:endParaRPr lang="en-IN" sz="1100"/>
        </a:p>
      </xdr:txBody>
    </xdr:sp>
    <xdr:clientData/>
  </xdr:twoCellAnchor>
  <xdr:twoCellAnchor>
    <xdr:from>
      <xdr:col>9</xdr:col>
      <xdr:colOff>101671</xdr:colOff>
      <xdr:row>0</xdr:row>
      <xdr:rowOff>69565</xdr:rowOff>
    </xdr:from>
    <xdr:to>
      <xdr:col>11</xdr:col>
      <xdr:colOff>133778</xdr:colOff>
      <xdr:row>5</xdr:row>
      <xdr:rowOff>48160</xdr:rowOff>
    </xdr:to>
    <xdr:graphicFrame macro="">
      <xdr:nvGraphicFramePr>
        <xdr:cNvPr id="23" name="Chart 22">
          <a:extLst>
            <a:ext uri="{FF2B5EF4-FFF2-40B4-BE49-F238E27FC236}">
              <a16:creationId xmlns:a16="http://schemas.microsoft.com/office/drawing/2014/main" id="{BBE919AB-CAB4-40AC-B033-8F39983FE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17</xdr:col>
      <xdr:colOff>57355</xdr:colOff>
      <xdr:row>5</xdr:row>
      <xdr:rowOff>111780</xdr:rowOff>
    </xdr:from>
    <xdr:to>
      <xdr:col>18</xdr:col>
      <xdr:colOff>415881</xdr:colOff>
      <xdr:row>6</xdr:row>
      <xdr:rowOff>95726</xdr:rowOff>
    </xdr:to>
    <xdr:sp macro="" textlink="">
      <xdr:nvSpPr>
        <xdr:cNvPr id="24" name="TextBox 23">
          <a:extLst>
            <a:ext uri="{FF2B5EF4-FFF2-40B4-BE49-F238E27FC236}">
              <a16:creationId xmlns:a16="http://schemas.microsoft.com/office/drawing/2014/main" id="{10C84410-D225-4779-8E1E-EE99E56D077F}"/>
            </a:ext>
          </a:extLst>
        </xdr:cNvPr>
        <xdr:cNvSpPr txBox="1"/>
      </xdr:nvSpPr>
      <xdr:spPr>
        <a:xfrm>
          <a:off x="9369638" y="1074982"/>
          <a:ext cx="968554" cy="176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endParaRPr lang="en-IN" sz="1100"/>
        </a:p>
      </xdr:txBody>
    </xdr:sp>
    <xdr:clientData/>
  </xdr:twoCellAnchor>
  <xdr:twoCellAnchor editAs="absolute">
    <xdr:from>
      <xdr:col>9</xdr:col>
      <xdr:colOff>219396</xdr:colOff>
      <xdr:row>5</xdr:row>
      <xdr:rowOff>21405</xdr:rowOff>
    </xdr:from>
    <xdr:to>
      <xdr:col>10</xdr:col>
      <xdr:colOff>577922</xdr:colOff>
      <xdr:row>6</xdr:row>
      <xdr:rowOff>5351</xdr:rowOff>
    </xdr:to>
    <xdr:sp macro="" textlink="">
      <xdr:nvSpPr>
        <xdr:cNvPr id="26" name="TextBox 25">
          <a:extLst>
            <a:ext uri="{FF2B5EF4-FFF2-40B4-BE49-F238E27FC236}">
              <a16:creationId xmlns:a16="http://schemas.microsoft.com/office/drawing/2014/main" id="{A8C3FF12-BCD2-41C2-AC48-3F37EB15D15B}"/>
            </a:ext>
          </a:extLst>
        </xdr:cNvPr>
        <xdr:cNvSpPr txBox="1"/>
      </xdr:nvSpPr>
      <xdr:spPr>
        <a:xfrm>
          <a:off x="5709649" y="984607"/>
          <a:ext cx="968554" cy="176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IN" sz="700" baseline="0"/>
            <a:t>Gender Wise Analysis</a:t>
          </a:r>
          <a:endParaRPr lang="en-IN" sz="1100"/>
        </a:p>
      </xdr:txBody>
    </xdr:sp>
    <xdr:clientData/>
  </xdr:twoCellAnchor>
  <xdr:twoCellAnchor>
    <xdr:from>
      <xdr:col>7</xdr:col>
      <xdr:colOff>10702</xdr:colOff>
      <xdr:row>6</xdr:row>
      <xdr:rowOff>37457</xdr:rowOff>
    </xdr:from>
    <xdr:to>
      <xdr:col>11</xdr:col>
      <xdr:colOff>123076</xdr:colOff>
      <xdr:row>14</xdr:row>
      <xdr:rowOff>90969</xdr:rowOff>
    </xdr:to>
    <xdr:graphicFrame macro="">
      <xdr:nvGraphicFramePr>
        <xdr:cNvPr id="27" name="Chart 26">
          <a:extLst>
            <a:ext uri="{FF2B5EF4-FFF2-40B4-BE49-F238E27FC236}">
              <a16:creationId xmlns:a16="http://schemas.microsoft.com/office/drawing/2014/main" id="{4471F02F-2CBA-461E-BBD0-BB65E32708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7</xdr:col>
      <xdr:colOff>32106</xdr:colOff>
      <xdr:row>14</xdr:row>
      <xdr:rowOff>139129</xdr:rowOff>
    </xdr:from>
    <xdr:to>
      <xdr:col>11</xdr:col>
      <xdr:colOff>10702</xdr:colOff>
      <xdr:row>17</xdr:row>
      <xdr:rowOff>69563</xdr:rowOff>
    </xdr:to>
    <xdr:sp macro="" textlink="">
      <xdr:nvSpPr>
        <xdr:cNvPr id="28" name="TextBox 27">
          <a:extLst>
            <a:ext uri="{FF2B5EF4-FFF2-40B4-BE49-F238E27FC236}">
              <a16:creationId xmlns:a16="http://schemas.microsoft.com/office/drawing/2014/main" id="{207A2698-85E9-4CFF-8B35-C0CFBCA62263}"/>
            </a:ext>
          </a:extLst>
        </xdr:cNvPr>
        <xdr:cNvSpPr txBox="1"/>
      </xdr:nvSpPr>
      <xdr:spPr>
        <a:xfrm>
          <a:off x="4302303" y="2836095"/>
          <a:ext cx="2418708" cy="508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700" baseline="0"/>
            <a:t>No. of Patient By Department Referal</a:t>
          </a:r>
          <a:endParaRPr lang="en-IN" sz="1100"/>
        </a:p>
      </xdr:txBody>
    </xdr:sp>
    <xdr:clientData/>
  </xdr:twoCellAnchor>
  <xdr:twoCellAnchor editAs="oneCell">
    <xdr:from>
      <xdr:col>5</xdr:col>
      <xdr:colOff>74706</xdr:colOff>
      <xdr:row>0</xdr:row>
      <xdr:rowOff>64214</xdr:rowOff>
    </xdr:from>
    <xdr:to>
      <xdr:col>7</xdr:col>
      <xdr:colOff>0</xdr:colOff>
      <xdr:row>2</xdr:row>
      <xdr:rowOff>177706</xdr:rowOff>
    </xdr:to>
    <mc:AlternateContent xmlns:mc="http://schemas.openxmlformats.org/markup-compatibility/2006" xmlns:a14="http://schemas.microsoft.com/office/drawing/2010/main">
      <mc:Choice Requires="a14">
        <xdr:graphicFrame macro="">
          <xdr:nvGraphicFramePr>
            <xdr:cNvPr id="30" name="Date (Year) 1">
              <a:extLst>
                <a:ext uri="{FF2B5EF4-FFF2-40B4-BE49-F238E27FC236}">
                  <a16:creationId xmlns:a16="http://schemas.microsoft.com/office/drawing/2014/main" id="{606B4807-2847-45FF-BD35-4717339E5B31}"/>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125196" y="64214"/>
              <a:ext cx="1145490" cy="4994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904875</xdr:colOff>
      <xdr:row>46</xdr:row>
      <xdr:rowOff>0</xdr:rowOff>
    </xdr:from>
    <xdr:to>
      <xdr:col>4</xdr:col>
      <xdr:colOff>2</xdr:colOff>
      <xdr:row>48</xdr:row>
      <xdr:rowOff>180975</xdr:rowOff>
    </xdr:to>
    <xdr:graphicFrame macro="">
      <xdr:nvGraphicFramePr>
        <xdr:cNvPr id="5" name="Chart 4">
          <a:extLst>
            <a:ext uri="{FF2B5EF4-FFF2-40B4-BE49-F238E27FC236}">
              <a16:creationId xmlns:a16="http://schemas.microsoft.com/office/drawing/2014/main" id="{D291CBAF-A2C1-FBF8-0226-D449B13B24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1685925</xdr:colOff>
      <xdr:row>90</xdr:row>
      <xdr:rowOff>9525</xdr:rowOff>
    </xdr:from>
    <xdr:to>
      <xdr:col>8</xdr:col>
      <xdr:colOff>9525</xdr:colOff>
      <xdr:row>103</xdr:row>
      <xdr:rowOff>57150</xdr:rowOff>
    </xdr:to>
    <mc:AlternateContent xmlns:mc="http://schemas.openxmlformats.org/markup-compatibility/2006" xmlns:a14="http://schemas.microsoft.com/office/drawing/2010/main">
      <mc:Choice Requires="a14">
        <xdr:graphicFrame macro="">
          <xdr:nvGraphicFramePr>
            <xdr:cNvPr id="10" name="Date (Year)">
              <a:extLst>
                <a:ext uri="{FF2B5EF4-FFF2-40B4-BE49-F238E27FC236}">
                  <a16:creationId xmlns:a16="http://schemas.microsoft.com/office/drawing/2014/main" id="{732E360D-0E85-EE35-5FA8-2A4DE9BA1C0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457950" y="17154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0</xdr:rowOff>
    </xdr:from>
    <xdr:to>
      <xdr:col>25</xdr:col>
      <xdr:colOff>581025</xdr:colOff>
      <xdr:row>28</xdr:row>
      <xdr:rowOff>180975</xdr:rowOff>
    </xdr:to>
    <xdr:graphicFrame macro="">
      <xdr:nvGraphicFramePr>
        <xdr:cNvPr id="2" name="Chart 1">
          <a:extLst>
            <a:ext uri="{FF2B5EF4-FFF2-40B4-BE49-F238E27FC236}">
              <a16:creationId xmlns:a16="http://schemas.microsoft.com/office/drawing/2014/main" id="{CD2E576F-A1A5-469D-B4C8-4A62CC58A3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0.00321</cdr:x>
      <cdr:y>0.00921</cdr:y>
    </cdr:from>
    <cdr:to>
      <cdr:x>0.03815</cdr:x>
      <cdr:y>0.12666</cdr:y>
    </cdr:to>
    <cdr:pic>
      <cdr:nvPicPr>
        <cdr:cNvPr id="2"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21E3E7A-C6E1-4C53-A2E5-8E438AE6E96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552450" cy="64770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28575</xdr:colOff>
      <xdr:row>0</xdr:row>
      <xdr:rowOff>28575</xdr:rowOff>
    </xdr:from>
    <xdr:to>
      <xdr:col>25</xdr:col>
      <xdr:colOff>571500</xdr:colOff>
      <xdr:row>29</xdr:row>
      <xdr:rowOff>19050</xdr:rowOff>
    </xdr:to>
    <xdr:graphicFrame macro="">
      <xdr:nvGraphicFramePr>
        <xdr:cNvPr id="2" name="Chart 1">
          <a:extLst>
            <a:ext uri="{FF2B5EF4-FFF2-40B4-BE49-F238E27FC236}">
              <a16:creationId xmlns:a16="http://schemas.microsoft.com/office/drawing/2014/main" id="{85A1EF54-A85E-46E1-A7B6-C4F663685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0.00322</cdr:x>
      <cdr:y>0.00921</cdr:y>
    </cdr:from>
    <cdr:to>
      <cdr:x>0.04245</cdr:x>
      <cdr:y>0.12666</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BCE0F5A-16F4-5E5A-A10D-F286E0F007F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619125" cy="64770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editAs="oneCell">
    <xdr:from>
      <xdr:col>3</xdr:col>
      <xdr:colOff>561976</xdr:colOff>
      <xdr:row>4</xdr:row>
      <xdr:rowOff>38100</xdr:rowOff>
    </xdr:from>
    <xdr:to>
      <xdr:col>4</xdr:col>
      <xdr:colOff>504826</xdr:colOff>
      <xdr:row>7</xdr:row>
      <xdr:rowOff>114300</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EE97256B-4E26-41EF-A1D2-B57FB454817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90776" y="800100"/>
          <a:ext cx="552450" cy="647700"/>
        </a:xfrm>
        <a:prstGeom prst="rect">
          <a:avLst/>
        </a:prstGeom>
      </xdr:spPr>
    </xdr:pic>
    <xdr:clientData/>
  </xdr:twoCellAnchor>
  <xdr:twoCellAnchor>
    <xdr:from>
      <xdr:col>0</xdr:col>
      <xdr:colOff>0</xdr:colOff>
      <xdr:row>0</xdr:row>
      <xdr:rowOff>9525</xdr:rowOff>
    </xdr:from>
    <xdr:to>
      <xdr:col>26</xdr:col>
      <xdr:colOff>9524</xdr:colOff>
      <xdr:row>28</xdr:row>
      <xdr:rowOff>180975</xdr:rowOff>
    </xdr:to>
    <xdr:graphicFrame macro="">
      <xdr:nvGraphicFramePr>
        <xdr:cNvPr id="5" name="Chart 4">
          <a:extLst>
            <a:ext uri="{FF2B5EF4-FFF2-40B4-BE49-F238E27FC236}">
              <a16:creationId xmlns:a16="http://schemas.microsoft.com/office/drawing/2014/main" id="{017BB1EB-5D05-4E17-9344-6446D5735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0.0032</cdr:x>
      <cdr:y>0.00923</cdr:y>
    </cdr:from>
    <cdr:to>
      <cdr:x>0.04224</cdr:x>
      <cdr:y>0.12687</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DB88AE9-52E1-2054-CF63-D9D70BDC5BE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619125" cy="6477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YADAV" refreshedDate="46006.456232407407" createdVersion="5" refreshedVersion="8" minRefreshableVersion="3" recordCount="0" supportSubquery="1" supportAdvancedDrill="1" xr:uid="{2E6DC3EB-A71F-4DDB-AA07-72F4CCD45E87}">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65">
        <s v="1-Feb"/>
        <s v="2-Feb"/>
        <s v="3-Feb"/>
        <s v="4-Feb"/>
        <s v="5-Feb"/>
        <s v="6-Feb"/>
        <s v="7-Feb"/>
        <s v="8-Feb"/>
        <s v="9-Feb"/>
        <s v="10-Feb"/>
        <s v="11-Feb"/>
        <s v="12-Feb"/>
        <s v="13-Feb"/>
        <s v="14-Feb"/>
        <s v="15-Feb"/>
        <s v="16-Feb"/>
        <s v="17-Feb"/>
        <s v="18-Feb"/>
        <s v="19-Feb"/>
        <s v="20-Feb"/>
        <s v="21-Feb"/>
        <s v="22-Feb"/>
        <s v="23-Feb"/>
        <s v="24-Feb"/>
        <s v="25-Feb"/>
        <s v="26-Feb"/>
        <s v="27-Feb"/>
        <s v="28-Feb"/>
        <s v="29-Feb"/>
        <s v="2-Aug" u="1"/>
        <s v="8-Aug" u="1"/>
        <s v="2-Jan" u="1"/>
        <s v="3-Jan" u="1"/>
        <s v="5-Jan" u="1"/>
        <s v="8-Jan" u="1"/>
        <s v="1-Jun" u="1"/>
        <s v="2-Jun" u="1"/>
        <s v="3-Jun" u="1"/>
        <s v="4-Jun" u="1"/>
        <s v="5-Jun" u="1"/>
        <s v="6-Jun" u="1"/>
        <s v="7-Jun" u="1"/>
        <s v="8-Jun" u="1"/>
        <s v="9-Jun" u="1"/>
        <s v="10-Jun" u="1"/>
        <s v="11-Jun" u="1"/>
        <s v="12-Jun" u="1"/>
        <s v="13-Jun" u="1"/>
        <s v="14-Jun" u="1"/>
        <s v="15-Jun" u="1"/>
        <s v="16-Jun" u="1"/>
        <s v="17-Jun" u="1"/>
        <s v="18-Jun" u="1"/>
        <s v="19-Jun" u="1"/>
        <s v="20-Jun" u="1"/>
        <s v="21-Jun" u="1"/>
        <s v="22-Jun" u="1"/>
        <s v="23-Jun" u="1"/>
        <s v="24-Jun" u="1"/>
        <s v="25-Jun" u="1"/>
        <s v="26-Jun" u="1"/>
        <s v="27-Jun" u="1"/>
        <s v="28-Jun" u="1"/>
        <s v="29-Jun" u="1"/>
        <s v="30-Jun" u="1"/>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d Status]" caption="Patient Attendd Status" attribute="1" defaultMemberUniqueName="[Hospital Emergency Room Data].[Patient Attendd Status].[All]" allUniqueName="[Hospital Emergency Room Data].[Patient Attend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d Status]" caption="Count of Patient Attend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YADAV" refreshedDate="46006.456232870369" createdVersion="5" refreshedVersion="8" minRefreshableVersion="3" recordCount="0" supportSubquery="1" supportAdvancedDrill="1" xr:uid="{E913BE6C-71F2-49C5-9125-02681089E124}">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d Status]" caption="Patient Attendd Status" attribute="1" defaultMemberUniqueName="[Hospital Emergency Room Data].[Patient Attendd Status].[All]" allUniqueName="[Hospital Emergency Room Data].[Patient Attend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d Status]" caption="Count of Patient Attend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YADAV" refreshedDate="46006.456232986115" createdVersion="5" refreshedVersion="8" minRefreshableVersion="3" recordCount="0" supportSubquery="1" supportAdvancedDrill="1" xr:uid="{1E5B9A82-9211-4CB3-9FF1-3DC810AA97AD}">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d Status]" caption="Patient Attendd Status" attribute="1" defaultMemberUniqueName="[Hospital Emergency Room Data].[Patient Attendd Status].[All]" allUniqueName="[Hospital Emergency Room Data].[Patient Attend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d Status]" caption="Count of Patient Attend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YADAV" refreshedDate="46006.456233449077" createdVersion="5" refreshedVersion="8" minRefreshableVersion="3" recordCount="0" supportSubquery="1" supportAdvancedDrill="1" xr:uid="{B69E6FFF-FD61-4F50-8A72-5C3FDFE565E6}">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ed"/>
        <s v="Not Admited"/>
      </sharedItems>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d Status]" caption="Patient Attendd Status" attribute="1" defaultMemberUniqueName="[Hospital Emergency Room Data].[Patient Attendd Status].[All]" allUniqueName="[Hospital Emergency Room Data].[Patient Attend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d Status]" caption="Count of Patient Attend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YADAV" refreshedDate="46006.456234259262" createdVersion="5" refreshedVersion="8" minRefreshableVersion="3" recordCount="0" supportSubquery="1" supportAdvancedDrill="1" xr:uid="{4E7854A1-74E7-47D9-B18F-467630843B02}">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3">
        <s v="1-Feb"/>
        <s v="2-Feb"/>
        <s v="3-Feb"/>
        <s v="4-Feb"/>
        <s v="5-Feb"/>
        <s v="6-Feb"/>
        <s v="7-Feb"/>
        <s v="8-Feb"/>
        <s v="9-Feb"/>
        <s v="10-Feb"/>
        <s v="11-Feb"/>
        <s v="12-Feb"/>
        <s v="13-Feb"/>
        <s v="14-Feb"/>
        <s v="15-Feb"/>
        <s v="16-Feb"/>
        <s v="17-Feb"/>
        <s v="18-Feb"/>
        <s v="19-Feb"/>
        <s v="20-Feb"/>
        <s v="21-Feb"/>
        <s v="22-Feb"/>
        <s v="23-Feb"/>
        <s v="24-Feb"/>
        <s v="25-Feb"/>
        <s v="26-Feb"/>
        <s v="27-Feb"/>
        <s v="28-Feb"/>
        <s v="29-Feb"/>
        <s v="2-Jan" u="1"/>
        <s v="3-Jan" u="1"/>
        <s v="5-Jan" u="1"/>
        <s v="8-Jan" u="1"/>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d Status]" caption="Patient Attendd Status" attribute="1" defaultMemberUniqueName="[Hospital Emergency Room Data].[Patient Attendd Status].[All]" allUniqueName="[Hospital Emergency Room Data].[Patient Attend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d Status]" caption="Count of Patient Attend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YADAV" refreshedDate="46006.456234722224" createdVersion="5" refreshedVersion="8" minRefreshableVersion="3" recordCount="0" supportSubquery="1" supportAdvancedDrill="1" xr:uid="{449E6BBD-C136-46A9-8DD0-DF664453A5EE}">
  <cacheSource type="external" connectionId="3"/>
  <cacheFields count="4">
    <cacheField name="[Calende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d Status]" caption="Patient Attendd Status" attribute="1" defaultMemberUniqueName="[Hospital Emergency Room Data].[Patient Attendd Status].[All]" allUniqueName="[Hospital Emergency Room Data].[Patient Attend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d Status]" caption="Count of Patient Attend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YADAV" refreshedDate="46006.456235300924" createdVersion="5" refreshedVersion="8" minRefreshableVersion="3" recordCount="0" supportSubquery="1" supportAdvancedDrill="1" xr:uid="{D2D17B40-ABC0-4B66-B496-48E8F835D69F}">
  <cacheSource type="external" connectionId="3"/>
  <cacheFields count="4">
    <cacheField name="[Calender_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d Status]" caption="Patient Attendd Status" attribute="1" defaultMemberUniqueName="[Hospital Emergency Room Data].[Patient Attendd Status].[All]" allUniqueName="[Hospital Emergency Room Data].[Patient Attend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d Status]" caption="Count of Patient Attend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YADAV" refreshedDate="46006.456235532409" createdVersion="5" refreshedVersion="8" minRefreshableVersion="3" recordCount="0" supportSubquery="1" supportAdvancedDrill="1" xr:uid="{B337BB0E-EB1E-4457-A2A7-7A5099133D9B}">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d Status]" caption="Patient Attendd Status" attribute="1" defaultMemberUniqueName="[Hospital Emergency Room Data].[Patient Attendd Status].[All]" allUniqueName="[Hospital Emergency Room Data].[Patient Attend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d Status]" caption="Count of Patient Attend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YADAV" refreshedDate="46006.456235995371" createdVersion="5" refreshedVersion="8" minRefreshableVersion="3" recordCount="0" supportSubquery="1" supportAdvancedDrill="1" xr:uid="{40F7DF8B-06AF-43F4-9FBF-D482709F0A67}">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d Status]" caption="Patient Attendd Status" attribute="1" defaultMemberUniqueName="[Hospital Emergency Room Data].[Patient Attendd Status].[All]" allUniqueName="[Hospital Emergency Room Data].[Patient Attend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d Status]" caption="Count of Patient Attend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YADAV" refreshedDate="46006.456236458333" createdVersion="5" refreshedVersion="8" minRefreshableVersion="3" recordCount="0" supportSubquery="1" supportAdvancedDrill="1" xr:uid="{39FAE602-6CD2-4B6F-BE8C-CA60891FD8CA}">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d Status].[Patient Attendd Status]" caption="Patient Attendd Status" numFmtId="0" hierarchy="17" level="1">
      <sharedItems count="2">
        <s v="Delay"/>
        <s v="OnTime"/>
      </sharedItems>
    </cacheField>
    <cacheField name="[Measures].[Count of Patient Attendd Status]" caption="Count of Patient Attendd Status"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d Status]" caption="Patient Attendd Status" attribute="1" defaultMemberUniqueName="[Hospital Emergency Room Data].[Patient Attendd Status].[All]" allUniqueName="[Hospital Emergency Room Data].[Patient Attend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d Status]" caption="Count of Patient Attend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YADAV" refreshedDate="46006.45623703704" createdVersion="5" refreshedVersion="8" minRefreshableVersion="3" recordCount="0" supportSubquery="1" supportAdvancedDrill="1" xr:uid="{B7849C82-5F39-4400-B2DC-2C635A001325}">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d Status]" caption="Patient Attendd Status" attribute="1" defaultMemberUniqueName="[Hospital Emergency Room Data].[Patient Attendd Status].[All]" allUniqueName="[Hospital Emergency Room Data].[Patient Attend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d Status]" caption="Count of Patient Attend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YADAV" refreshedDate="46006.45623773148" createdVersion="5" refreshedVersion="8" minRefreshableVersion="3" recordCount="0" supportSubquery="1" supportAdvancedDrill="1" xr:uid="{77642C85-67B8-48D1-8C9A-75349C896DA2}">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d Status]" caption="Patient Attendd Status" attribute="1" defaultMemberUniqueName="[Hospital Emergency Room Data].[Patient Attendd Status].[All]" allUniqueName="[Hospital Emergency Room Data].[Patient Attend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d Status]" caption="Count of Patient Attend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YADAV" refreshedDate="46006.456238194442" createdVersion="5" refreshedVersion="8" minRefreshableVersion="3" recordCount="0" supportSubquery="1" supportAdvancedDrill="1" xr:uid="{3BB1662A-D28B-4BED-AA60-F3B7B06EC4AB}">
  <cacheSource type="external" connectionId="3"/>
  <cacheFields count="4">
    <cacheField name="[Calender_Table].[Date (Month)].[Date (Month)]" caption="Date (Month)" numFmtId="0" hierarchy="1" level="1">
      <sharedItems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d Status]" caption="Patient Attendd Status" attribute="1" defaultMemberUniqueName="[Hospital Emergency Room Data].[Patient Attendd Status].[All]" allUniqueName="[Hospital Emergency Room Data].[Patient Attend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d Status]" caption="Count of Patient Attend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YADAV" refreshedDate="45985.931645370372" createdVersion="3" refreshedVersion="8" minRefreshableVersion="3" recordCount="0" supportSubquery="1" supportAdvancedDrill="1" xr:uid="{891C1870-924C-49E7-9644-C24F848C2205}">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d Status]" caption="Patient Attendd Status" attribute="1" defaultMemberUniqueName="[Hospital Emergency Room Data].[Patient Attendd Status].[All]" allUniqueName="[Hospital Emergency Room Data].[Patient Attend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d Status]" caption="Count of Patient Attend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670246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7B8062-A767-46B0-B9B5-8080A21D81BE}" name="PivotTable5" cacheId="4" applyNumberFormats="0" applyBorderFormats="0" applyFontFormats="0" applyPatternFormats="0" applyAlignmentFormats="0" applyWidthHeightFormats="1" dataCaption="Values" tag="faa287cc-5826-461b-be4c-cf8a6c43023e" updatedVersion="8" minRefreshableVersion="3" subtotalHiddenItems="1" itemPrintTitles="1" createdVersion="5" indent="0" outline="1" outlineData="1" multipleFieldFilters="0" chartFormat="13">
  <location ref="N36:O66" firstHeaderRow="1" firstDataRow="1" firstDataCol="1"/>
  <pivotFields count="4">
    <pivotField dataField="1" subtotalTop="0" showAll="0" defaultSubtotal="0"/>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32"/>
          </reference>
        </references>
      </pivotArea>
    </chartFormat>
    <chartFormat chart="8" format="7">
      <pivotArea type="data" outline="0" fieldPosition="0">
        <references count="2">
          <reference field="4294967294" count="1" selected="0">
            <x v="0"/>
          </reference>
          <reference field="1" count="1" selected="0">
            <x v="29"/>
          </reference>
        </references>
      </pivotArea>
    </chartFormat>
    <chartFormat chart="8" format="8">
      <pivotArea type="data" outline="0" fieldPosition="0">
        <references count="2">
          <reference field="4294967294" count="1" selected="0">
            <x v="0"/>
          </reference>
          <reference field="1" count="1" selected="0">
            <x v="30"/>
          </reference>
        </references>
      </pivotArea>
    </chartFormat>
    <chartFormat chart="8" format="9">
      <pivotArea type="data" outline="0" fieldPosition="0">
        <references count="2">
          <reference field="4294967294" count="1" selected="0">
            <x v="0"/>
          </reference>
          <reference field="1" count="1" selected="0">
            <x v="31"/>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DFF532-F9B4-4C39-A0B8-33F56D4E4096}" name="PivotTable2" cacheId="2" applyNumberFormats="0" applyBorderFormats="0" applyFontFormats="0" applyPatternFormats="0" applyAlignmentFormats="0" applyWidthHeightFormats="1" dataCaption="Values" tag="55ccebd3-fcc9-4992-8f3e-2d2b1fea865d"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0">
      <pivotArea outline="0" collapsedLevelsAreSubtotals="1" fieldPosition="0"/>
    </format>
  </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A731A6-17BF-4315-914C-8AE7BC8727D2}" name="PivotTable13" cacheId="12" applyNumberFormats="0" applyBorderFormats="0" applyFontFormats="0" applyPatternFormats="0" applyAlignmentFormats="0" applyWidthHeightFormats="1" dataCaption="Values" tag="f38e8e90-4ab5-4399-a00c-650d0f0f8b70" updatedVersion="8" minRefreshableVersion="3" subtotalHiddenItems="1" itemPrintTitles="1" createdVersion="5" indent="0" outline="1" outlineData="1" multipleFieldFilters="0" chartFormat="22">
  <location ref="A99:A101"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
      <pivotArea outline="0" collapsedLevelsAreSubtotals="1" fieldPosition="0"/>
    </format>
  </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ED7247-2C00-4A26-86DF-BD81E75BCDA9}" name="PivotTable1" cacheId="1" applyNumberFormats="0" applyBorderFormats="0" applyFontFormats="0" applyPatternFormats="0" applyAlignmentFormats="0" applyWidthHeightFormats="1" dataCaption="Values" tag="a832925e-f881-4f97-886e-c973092a3bc9"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C47FCE-4613-4C8F-B457-E6BFF2767F7A}" name="PivotTable10" cacheId="9" applyNumberFormats="0" applyBorderFormats="0" applyFontFormats="0" applyPatternFormats="0" applyAlignmentFormats="0" applyWidthHeightFormats="1" dataCaption="Values" tag="f38e8e90-4ab5-4399-a00c-650d0f0f8b70" updatedVersion="8" minRefreshableVersion="3" subtotalHiddenItems="1" itemPrintTitles="1" createdVersion="5" indent="0" outline="1" outlineData="1" multipleFieldFilters="0" chartFormat="15">
  <location ref="A68:B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d Status" fld="2" subtotal="count" baseField="0" baseItem="0"/>
  </dataFields>
  <formats count="2">
    <format dxfId="3">
      <pivotArea outline="0" collapsedLevelsAreSubtotals="1" fieldPosition="0"/>
    </format>
    <format dxfId="2">
      <pivotArea collapsedLevelsAreSubtotals="1" fieldPosition="0">
        <references count="1">
          <reference field="1" count="0"/>
        </references>
      </pivotArea>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7C4AA7-7E8D-40AA-942F-FBE0DA8EFD89}" name="PivotTable4" cacheId="0" applyNumberFormats="0" applyBorderFormats="0" applyFontFormats="0" applyPatternFormats="0" applyAlignmentFormats="0" applyWidthHeightFormats="1" dataCaption="Values" tag="faa287cc-5826-461b-be4c-cf8a6c43023e" updatedVersion="8" minRefreshableVersion="3" subtotalHiddenItems="1" itemPrintTitles="1" createdVersion="5" indent="0" outline="1" outlineData="1" multipleFieldFilters="0" chartFormat="13">
  <location ref="K5:L35" firstHeaderRow="1" firstDataRow="1" firstDataCol="1"/>
  <pivotFields count="4">
    <pivotField dataField="1" subtotalTop="0" showAll="0" defaultSubtotal="0"/>
    <pivotField axis="axisRow" allDrilled="1" subtotalTop="0" showAll="0" dataSourceSort="1" defaultSubtotal="0" defaultAttributeDrillState="1">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6">
    <format dxfId="9">
      <pivotArea type="all" dataOnly="0" outline="0" fieldPosition="0"/>
    </format>
    <format dxfId="8">
      <pivotArea outline="0" collapsedLevelsAreSubtotals="1" fieldPosition="0"/>
    </format>
    <format dxfId="7">
      <pivotArea field="1" type="button" dataOnly="0" labelOnly="1" outline="0" axis="axisRow" fieldPosition="0"/>
    </format>
    <format dxfId="6">
      <pivotArea dataOnly="0" labelOnly="1" fieldPosition="0">
        <references count="1">
          <reference field="1" count="30">
            <x v="35"/>
            <x v="36"/>
            <x v="37"/>
            <x v="38"/>
            <x v="39"/>
            <x v="40"/>
            <x v="41"/>
            <x v="42"/>
            <x v="43"/>
            <x v="44"/>
            <x v="45"/>
            <x v="46"/>
            <x v="47"/>
            <x v="48"/>
            <x v="49"/>
            <x v="50"/>
            <x v="51"/>
            <x v="52"/>
            <x v="53"/>
            <x v="54"/>
            <x v="55"/>
            <x v="56"/>
            <x v="57"/>
            <x v="58"/>
            <x v="59"/>
            <x v="60"/>
            <x v="61"/>
            <x v="62"/>
            <x v="63"/>
            <x v="64"/>
          </reference>
        </references>
      </pivotArea>
    </format>
    <format dxfId="5">
      <pivotArea dataOnly="0" labelOnly="1" grandRow="1" outline="0" fieldPosition="0"/>
    </format>
    <format dxfId="4">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34"/>
          </reference>
        </references>
      </pivotArea>
    </chartFormat>
    <chartFormat chart="8" format="7">
      <pivotArea type="data" outline="0" fieldPosition="0">
        <references count="2">
          <reference field="4294967294" count="1" selected="0">
            <x v="0"/>
          </reference>
          <reference field="1" count="1" selected="0">
            <x v="31"/>
          </reference>
        </references>
      </pivotArea>
    </chartFormat>
    <chartFormat chart="8" format="8">
      <pivotArea type="data" outline="0" fieldPosition="0">
        <references count="2">
          <reference field="4294967294" count="1" selected="0">
            <x v="0"/>
          </reference>
          <reference field="1" count="1" selected="0">
            <x v="32"/>
          </reference>
        </references>
      </pivotArea>
    </chartFormat>
    <chartFormat chart="8" format="9">
      <pivotArea type="data" outline="0" fieldPosition="0">
        <references count="2">
          <reference field="4294967294" count="1" selected="0">
            <x v="0"/>
          </reference>
          <reference field="1" count="1" selected="0">
            <x v="33"/>
          </reference>
        </references>
      </pivotArea>
    </chartFormat>
    <chartFormat chart="8" format="10">
      <pivotArea type="data" outline="0" fieldPosition="0">
        <references count="2">
          <reference field="4294967294" count="1" selected="0">
            <x v="0"/>
          </reference>
          <reference field="1" count="1" selected="0">
            <x v="1"/>
          </reference>
        </references>
      </pivotArea>
    </chartFormat>
    <chartFormat chart="8" format="11">
      <pivotArea type="data" outline="0" fieldPosition="0">
        <references count="2">
          <reference field="4294967294" count="1" selected="0">
            <x v="0"/>
          </reference>
          <reference field="1" count="1" selected="0">
            <x v="7"/>
          </reference>
        </references>
      </pivotArea>
    </chartFormat>
    <chartFormat chart="8" format="12">
      <pivotArea type="data" outline="0" fieldPosition="0">
        <references count="2">
          <reference field="4294967294" count="1" selected="0">
            <x v="0"/>
          </reference>
          <reference field="1" count="1" selected="0">
            <x v="29"/>
          </reference>
        </references>
      </pivotArea>
    </chartFormat>
    <chartFormat chart="8" format="13">
      <pivotArea type="data" outline="0" fieldPosition="0">
        <references count="2">
          <reference field="4294967294" count="1" selected="0">
            <x v="0"/>
          </reference>
          <reference field="1" count="1" selected="0">
            <x v="30"/>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8775DF-B61D-47EC-859A-7D4F2B2C5619}" name="PivotTable6" cacheId="5" applyNumberFormats="0" applyBorderFormats="0" applyFontFormats="0" applyPatternFormats="0" applyAlignmentFormats="0" applyWidthHeightFormats="1" dataCaption="Values" tag="faa287cc-5826-461b-be4c-cf8a6c43023e" updatedVersion="8" minRefreshableVersion="3" subtotalHiddenItems="1" itemPrintTitles="1" createdVersion="5" indent="0" outline="1" outlineData="1" multipleFieldFilters="0" chartFormat="21">
  <location ref="H4:I34"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dataFields>
  <formats count="7">
    <format dxfId="16">
      <pivotArea collapsedLevelsAreSubtotals="1" fieldPosition="0">
        <references count="1">
          <reference field="0" count="0"/>
        </references>
      </pivotArea>
    </format>
    <format dxfId="15">
      <pivotArea type="all" dataOnly="0" outline="0" fieldPosition="0"/>
    </format>
    <format dxfId="14">
      <pivotArea outline="0" collapsedLevelsAreSubtotals="1" fieldPosition="0"/>
    </format>
    <format dxfId="13">
      <pivotArea field="0" type="button" dataOnly="0" labelOnly="1" outline="0" axis="axisRow" fieldPosition="0"/>
    </format>
    <format dxfId="12">
      <pivotArea dataOnly="0" labelOnly="1" fieldPosition="0">
        <references count="1">
          <reference field="0" count="0"/>
        </references>
      </pivotArea>
    </format>
    <format dxfId="11">
      <pivotArea dataOnly="0" labelOnly="1" grandRow="1" outline="0" fieldPosition="0"/>
    </format>
    <format dxfId="10">
      <pivotArea dataOnly="0" labelOnly="1" outline="0" axis="axisValues" fieldPosition="0"/>
    </format>
  </formats>
  <chartFormats count="2">
    <chartFormat chart="15"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900CDC-BDBB-439F-81C9-1CEE1CD48F62}" name="PivotTable11" cacheId="10" applyNumberFormats="0" applyBorderFormats="0" applyFontFormats="0" applyPatternFormats="0" applyAlignmentFormats="0" applyWidthHeightFormats="1" dataCaption="Values" tag="f38e8e90-4ab5-4399-a00c-650d0f0f8b70" updatedVersion="8" minRefreshableVersion="3" subtotalHiddenItems="1" itemPrintTitles="1" createdVersion="5" indent="0" outline="1" outlineData="1" multipleFieldFilters="0" chartFormat="19">
  <location ref="A75:B7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7">
      <pivotArea outline="0" collapsedLevelsAreSubtotals="1" fieldPosition="0"/>
    </format>
  </formats>
  <chartFormats count="3">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481526-3AA4-4D62-A76E-2A4A633A2FD8}" name="PivotTable3" cacheId="3" applyNumberFormats="0" applyBorderFormats="0" applyFontFormats="0" applyPatternFormats="0" applyAlignmentFormats="0" applyWidthHeightFormats="1" dataCaption="Values" tag="f38e8e90-4ab5-4399-a00c-650d0f0f8b70" updatedVersion="8" minRefreshableVersion="3" subtotalHiddenItems="1" itemPrintTitles="1" createdVersion="5" indent="0" outline="1" outlineData="1" multipleFieldFilters="0" chartFormat="2">
  <location ref="A40:C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9">
      <pivotArea outline="0" collapsedLevelsAreSubtotals="1" fieldPosition="0"/>
    </format>
    <format dxfId="1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6B9A22-1CB0-4CD2-9CD6-833E29EC9583}" name="PivotTable12" cacheId="11" applyNumberFormats="0" applyBorderFormats="0" applyFontFormats="0" applyPatternFormats="0" applyAlignmentFormats="0" applyWidthHeightFormats="1" dataCaption="Values" tag="f38e8e90-4ab5-4399-a00c-650d0f0f8b70" updatedVersion="8" minRefreshableVersion="3" subtotalHiddenItems="1" itemPrintTitles="1" createdVersion="5" indent="0" outline="1" outlineData="1" multipleFieldFilters="0" chartFormat="22">
  <location ref="A82:B9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3"/>
    </i>
    <i>
      <x v="1"/>
    </i>
    <i>
      <x v="7"/>
    </i>
    <i>
      <x/>
    </i>
    <i>
      <x v="6"/>
    </i>
    <i>
      <x v="5"/>
    </i>
    <i>
      <x v="2"/>
    </i>
    <i>
      <x v="4"/>
    </i>
    <i t="grand">
      <x/>
    </i>
  </rowItems>
  <colItems count="1">
    <i/>
  </colItems>
  <dataFields count="1">
    <dataField name="Count of Department Referral" fld="2" subtotal="count" baseField="0" baseItem="0"/>
  </dataFields>
  <formats count="2">
    <format dxfId="21">
      <pivotArea outline="0" collapsedLevelsAreSubtotals="1" fieldPosition="0"/>
    </format>
    <format dxfId="20">
      <pivotArea collapsedLevelsAreSubtotals="1" fieldPosition="0">
        <references count="1">
          <reference field="1" count="0"/>
        </references>
      </pivotArea>
    </format>
  </formats>
  <chartFormats count="1">
    <chartFormat chart="2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4DE2415-EC25-47A1-8155-ADD5403A76ED}" name="PivotTable7" cacheId="6" applyNumberFormats="0" applyBorderFormats="0" applyFontFormats="0" applyPatternFormats="0" applyAlignmentFormats="0" applyWidthHeightFormats="1" dataCaption="Values" tag="faa287cc-5826-461b-be4c-cf8a6c43023e" updatedVersion="8" minRefreshableVersion="3" subtotalHiddenItems="1" itemPrintTitles="1" createdVersion="5" indent="0" outline="1" outlineData="1" multipleFieldFilters="0" chartFormat="28">
  <location ref="E4:F33"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0"/>
  </dataFields>
  <formats count="7">
    <format dxfId="28">
      <pivotArea collapsedLevelsAreSubtotals="1" fieldPosition="0">
        <references count="1">
          <reference field="0" count="0"/>
        </references>
      </pivotArea>
    </format>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fieldPosition="0">
        <references count="1">
          <reference field="0" count="0"/>
        </references>
      </pivotArea>
    </format>
    <format dxfId="23">
      <pivotArea dataOnly="0" labelOnly="1" grandRow="1" outline="0" fieldPosition="0"/>
    </format>
    <format dxfId="22">
      <pivotArea dataOnly="0" labelOnly="1" outline="0" axis="axisValues" fieldPosition="0"/>
    </format>
  </formats>
  <chartFormats count="3">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795CD1E-29AA-4B8E-BC82-30EFC26BE160}" name="PivotTable9" cacheId="7" applyNumberFormats="0" applyBorderFormats="0" applyFontFormats="0" applyPatternFormats="0" applyAlignmentFormats="0" applyWidthHeightFormats="1" dataCaption="Values" tag="f38e8e90-4ab5-4399-a00c-650d0f0f8b70"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9">
      <pivotArea outline="0" collapsedLevelsAreSubtotals="1" fieldPosition="0"/>
    </format>
  </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5DAEEBC-3530-4EC8-8210-7536CBA7A130}" name="PivotTable8" cacheId="8" applyNumberFormats="0" applyBorderFormats="0" applyFontFormats="0" applyPatternFormats="0" applyAlignmentFormats="0" applyWidthHeightFormats="1" dataCaption="Values" tag="f38e8e90-4ab5-4399-a00c-650d0f0f8b70" updatedVersion="8" minRefreshableVersion="3" subtotalHiddenItems="1" itemPrintTitles="1" createdVersion="5" indent="0" outline="1" outlineData="1" multipleFieldFilters="0" chartFormat="6">
  <location ref="A56:B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31">
      <pivotArea outline="0" collapsedLevelsAreSubtotals="1" fieldPosition="0"/>
    </format>
    <format dxfId="30">
      <pivotArea collapsedLevelsAreSubtotals="1" fieldPosition="0">
        <references count="1">
          <reference field="1" count="0"/>
        </references>
      </pivotArea>
    </format>
  </formats>
  <chartFormats count="1">
    <chartFormat chart="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C6712F2-0721-4A7C-81B0-AF592442CAC9}"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9"/>
    <pivotTable tabId="1" name="PivotTable8"/>
    <pivotTable tabId="1" name="PivotTable10"/>
    <pivotTable tabId="1" name="PivotTable11"/>
    <pivotTable tabId="1" name="PivotTable12"/>
    <pivotTable tabId="1" name="PivotTable13"/>
  </pivotTables>
  <data>
    <olap pivotCacheId="1867024662">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67B631C-119D-4A99-8384-E8CE1FBAA2BE}" sourceName="[Calende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867024662">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C9A7F93-E655-4870-8F5A-64E58BFFB29F}" cache="Slicer_Date__Month" caption="Date (Month)" showCaption="0" level="1" style="SlicerStyleDark4" rowHeight="144000"/>
  <slicer name="Date (Year) 1" xr10:uid="{BF13E1E3-B61B-449B-8C0D-C10D850A974F}" cache="Slicer_Date__Year" caption="Date (Year)" columnCount="2" showCaption="0" level="1"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DE4EC542-2D21-4755-B003-4093CACB6633}" cache="Slicer_Date__Year" caption="Date (Year)"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946C2-7273-445E-9A3B-ED64B67E4E71}">
  <dimension ref="A1:M16"/>
  <sheetViews>
    <sheetView showGridLines="0" tabSelected="1" zoomScale="148" zoomScaleNormal="148" workbookViewId="0">
      <selection activeCell="O8" sqref="O8"/>
    </sheetView>
  </sheetViews>
  <sheetFormatPr defaultRowHeight="15" x14ac:dyDescent="0.25"/>
  <cols>
    <col min="12" max="12" width="2.42578125" customWidth="1"/>
    <col min="13" max="13" width="9.140625" hidden="1" customWidth="1"/>
  </cols>
  <sheetData>
    <row r="1" spans="1:13" x14ac:dyDescent="0.25">
      <c r="A1" s="3"/>
      <c r="B1" s="3"/>
      <c r="C1" s="3"/>
      <c r="D1" s="3"/>
      <c r="E1" s="3"/>
      <c r="F1" s="3"/>
      <c r="G1" s="3"/>
      <c r="H1" s="3"/>
      <c r="I1" s="3"/>
      <c r="J1" s="3"/>
      <c r="K1" s="3"/>
      <c r="L1" s="3"/>
      <c r="M1" s="3"/>
    </row>
    <row r="2" spans="1:13" x14ac:dyDescent="0.25">
      <c r="A2" s="3"/>
      <c r="B2" s="3"/>
      <c r="C2" s="3"/>
      <c r="D2" s="3"/>
      <c r="E2" s="3"/>
      <c r="F2" s="3"/>
      <c r="G2" s="3"/>
      <c r="H2" s="3"/>
      <c r="I2" s="3"/>
      <c r="J2" s="3"/>
      <c r="K2" s="3"/>
      <c r="L2" s="3"/>
      <c r="M2" s="3"/>
    </row>
    <row r="3" spans="1:13" x14ac:dyDescent="0.25">
      <c r="A3" s="3"/>
      <c r="B3" s="3"/>
      <c r="C3" s="3"/>
      <c r="D3" s="3"/>
      <c r="E3" s="3"/>
      <c r="F3" s="3"/>
      <c r="G3" s="3"/>
      <c r="H3" s="3"/>
      <c r="I3" s="3"/>
      <c r="J3" s="3"/>
      <c r="K3" s="3"/>
      <c r="L3" s="3"/>
      <c r="M3" s="3"/>
    </row>
    <row r="4" spans="1:13" x14ac:dyDescent="0.25">
      <c r="A4" s="3"/>
      <c r="B4" s="3"/>
      <c r="C4" s="3"/>
      <c r="D4" s="3"/>
      <c r="E4" s="3"/>
      <c r="F4" s="3"/>
      <c r="G4" s="3"/>
      <c r="H4" s="3"/>
      <c r="I4" s="3"/>
      <c r="J4" s="3"/>
      <c r="K4" s="3"/>
      <c r="L4" s="3"/>
      <c r="M4" s="3"/>
    </row>
    <row r="5" spans="1:13" x14ac:dyDescent="0.25">
      <c r="A5" s="3"/>
      <c r="B5" s="3"/>
      <c r="C5" s="3"/>
      <c r="D5" s="3"/>
      <c r="E5" s="3"/>
      <c r="F5" s="3"/>
      <c r="G5" s="3"/>
      <c r="H5" s="3"/>
      <c r="I5" s="3"/>
      <c r="J5" s="3"/>
      <c r="K5" s="3"/>
      <c r="L5" s="3"/>
      <c r="M5" s="3"/>
    </row>
    <row r="6" spans="1:13" x14ac:dyDescent="0.25">
      <c r="A6" s="3"/>
      <c r="B6" s="3"/>
      <c r="C6" s="3"/>
      <c r="D6" s="3"/>
      <c r="E6" s="3"/>
      <c r="F6" s="3"/>
      <c r="G6" s="3"/>
      <c r="H6" s="3"/>
      <c r="I6" s="3"/>
      <c r="J6" s="3"/>
      <c r="K6" s="3"/>
      <c r="L6" s="3"/>
      <c r="M6" s="3"/>
    </row>
    <row r="7" spans="1:13" x14ac:dyDescent="0.25">
      <c r="A7" s="3"/>
      <c r="B7" s="3"/>
      <c r="C7" s="3"/>
      <c r="D7" s="3"/>
      <c r="E7" s="3"/>
      <c r="F7" s="3"/>
      <c r="G7" s="3"/>
      <c r="H7" s="3"/>
      <c r="I7" s="3"/>
      <c r="J7" s="3"/>
      <c r="K7" s="3"/>
      <c r="L7" s="3"/>
      <c r="M7" s="3"/>
    </row>
    <row r="8" spans="1:13" x14ac:dyDescent="0.25">
      <c r="A8" s="3"/>
      <c r="B8" s="3"/>
      <c r="C8" s="3"/>
      <c r="D8" s="3"/>
      <c r="E8" s="3"/>
      <c r="F8" s="3"/>
      <c r="G8" s="3"/>
      <c r="H8" s="3"/>
      <c r="I8" s="3"/>
      <c r="J8" s="3"/>
      <c r="K8" s="3"/>
      <c r="L8" s="3"/>
      <c r="M8" s="3"/>
    </row>
    <row r="9" spans="1:13" x14ac:dyDescent="0.25">
      <c r="A9" s="3"/>
      <c r="B9" s="3"/>
      <c r="C9" s="3"/>
      <c r="D9" s="3"/>
      <c r="E9" s="3"/>
      <c r="F9" s="3"/>
      <c r="G9" s="3"/>
      <c r="H9" s="3"/>
      <c r="I9" s="3"/>
      <c r="J9" s="3"/>
      <c r="K9" s="3"/>
      <c r="L9" s="3"/>
      <c r="M9" s="3"/>
    </row>
    <row r="10" spans="1:13" x14ac:dyDescent="0.25">
      <c r="A10" s="3"/>
      <c r="B10" s="3"/>
      <c r="C10" s="3"/>
      <c r="D10" s="3"/>
      <c r="E10" s="3"/>
      <c r="F10" s="3"/>
      <c r="G10" s="3"/>
      <c r="H10" s="3"/>
      <c r="I10" s="3"/>
      <c r="J10" s="3"/>
      <c r="K10" s="3"/>
      <c r="L10" s="3"/>
      <c r="M10" s="3"/>
    </row>
    <row r="11" spans="1:13" x14ac:dyDescent="0.25">
      <c r="A11" s="3"/>
      <c r="B11" s="3"/>
      <c r="C11" s="3"/>
      <c r="D11" s="3"/>
      <c r="E11" s="3"/>
      <c r="F11" s="3"/>
      <c r="G11" s="3"/>
      <c r="H11" s="3"/>
      <c r="I11" s="3"/>
      <c r="J11" s="3"/>
      <c r="K11" s="3"/>
      <c r="L11" s="3"/>
      <c r="M11" s="3"/>
    </row>
    <row r="12" spans="1:13" x14ac:dyDescent="0.25">
      <c r="A12" s="3"/>
      <c r="B12" s="3"/>
      <c r="C12" s="3"/>
      <c r="D12" s="3"/>
      <c r="E12" s="3"/>
      <c r="F12" s="3"/>
      <c r="G12" s="3"/>
      <c r="H12" s="3"/>
      <c r="I12" s="3"/>
      <c r="J12" s="3"/>
      <c r="K12" s="3"/>
      <c r="L12" s="3"/>
      <c r="M12" s="3"/>
    </row>
    <row r="13" spans="1:13" x14ac:dyDescent="0.25">
      <c r="A13" s="3"/>
      <c r="B13" s="3"/>
      <c r="C13" s="3"/>
      <c r="D13" s="3"/>
      <c r="E13" s="3"/>
      <c r="F13" s="3"/>
      <c r="G13" s="3"/>
      <c r="H13" s="3"/>
      <c r="I13" s="3"/>
      <c r="J13" s="3"/>
      <c r="K13" s="3"/>
      <c r="L13" s="3"/>
      <c r="M13" s="3"/>
    </row>
    <row r="14" spans="1:13" x14ac:dyDescent="0.25">
      <c r="A14" s="3"/>
      <c r="B14" s="3"/>
      <c r="C14" s="3"/>
      <c r="D14" s="3"/>
      <c r="E14" s="3"/>
      <c r="F14" s="3"/>
      <c r="G14" s="3"/>
      <c r="H14" s="3"/>
      <c r="I14" s="3"/>
      <c r="J14" s="3"/>
      <c r="K14" s="3"/>
      <c r="L14" s="3"/>
      <c r="M14" s="3"/>
    </row>
    <row r="15" spans="1:13" x14ac:dyDescent="0.25">
      <c r="A15" s="3"/>
      <c r="B15" s="3"/>
      <c r="C15" s="3"/>
      <c r="D15" s="3"/>
      <c r="E15" s="3"/>
      <c r="F15" s="3"/>
      <c r="G15" s="3"/>
      <c r="H15" s="3"/>
      <c r="I15" s="3"/>
      <c r="J15" s="3"/>
      <c r="K15" s="3"/>
      <c r="L15" s="3"/>
      <c r="M15" s="3"/>
    </row>
    <row r="16" spans="1:13" x14ac:dyDescent="0.25">
      <c r="A16" s="3"/>
      <c r="B16" s="3"/>
      <c r="C16" s="3"/>
      <c r="D16" s="3"/>
      <c r="E16" s="3"/>
      <c r="F16" s="3"/>
      <c r="G16" s="3"/>
      <c r="H16" s="3"/>
      <c r="I16" s="3"/>
      <c r="J16" s="3"/>
      <c r="K16" s="3"/>
      <c r="L16" s="3"/>
      <c r="M16" s="3"/>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BFE5B-ADA8-42E9-93D9-315E4D3080D1}">
  <dimension ref="A3:O101"/>
  <sheetViews>
    <sheetView workbookViewId="0">
      <selection activeCell="N11" sqref="N11"/>
    </sheetView>
  </sheetViews>
  <sheetFormatPr defaultRowHeight="15" x14ac:dyDescent="0.25"/>
  <cols>
    <col min="1" max="1" width="16.7109375" customWidth="1"/>
    <col min="2" max="2" width="13.7109375" customWidth="1"/>
    <col min="3" max="3" width="16.28515625" customWidth="1"/>
    <col min="4" max="4" width="15.7109375" customWidth="1"/>
    <col min="6" max="6" width="34.28515625" bestFit="1" customWidth="1"/>
    <col min="9" max="9" width="26.85546875" bestFit="1" customWidth="1"/>
    <col min="10" max="10" width="25.140625" bestFit="1" customWidth="1"/>
    <col min="12" max="13" width="25.140625" bestFit="1" customWidth="1"/>
  </cols>
  <sheetData>
    <row r="3" spans="1:12" x14ac:dyDescent="0.25">
      <c r="A3" t="s">
        <v>1</v>
      </c>
      <c r="E3" s="17" t="s">
        <v>6</v>
      </c>
      <c r="F3" s="17"/>
      <c r="G3" s="9"/>
      <c r="H3" s="9"/>
    </row>
    <row r="4" spans="1:12" x14ac:dyDescent="0.25">
      <c r="A4" t="s">
        <v>0</v>
      </c>
      <c r="E4" s="5" t="s">
        <v>5</v>
      </c>
      <c r="F4" s="6" t="s">
        <v>3</v>
      </c>
      <c r="H4" s="5" t="s">
        <v>5</v>
      </c>
      <c r="I4" s="6" t="s">
        <v>2</v>
      </c>
      <c r="K4" s="17" t="s">
        <v>7</v>
      </c>
      <c r="L4" s="17"/>
    </row>
    <row r="5" spans="1:12" x14ac:dyDescent="0.25">
      <c r="A5">
        <v>431</v>
      </c>
      <c r="E5" s="7" t="s">
        <v>43</v>
      </c>
      <c r="F5" s="8">
        <v>4.166666666666667</v>
      </c>
      <c r="H5" s="7" t="s">
        <v>43</v>
      </c>
      <c r="I5" s="8">
        <v>35.692307692307693</v>
      </c>
      <c r="K5" s="5" t="s">
        <v>5</v>
      </c>
      <c r="L5" s="6" t="s">
        <v>0</v>
      </c>
    </row>
    <row r="6" spans="1:12" x14ac:dyDescent="0.25">
      <c r="E6" s="7" t="s">
        <v>44</v>
      </c>
      <c r="F6" s="8">
        <v>5.75</v>
      </c>
      <c r="H6" s="7" t="s">
        <v>44</v>
      </c>
      <c r="I6" s="8">
        <v>45.4</v>
      </c>
      <c r="K6" s="7" t="s">
        <v>43</v>
      </c>
      <c r="L6" s="6">
        <v>13</v>
      </c>
    </row>
    <row r="7" spans="1:12" x14ac:dyDescent="0.25">
      <c r="E7" s="7" t="s">
        <v>45</v>
      </c>
      <c r="F7" s="8">
        <v>4.75</v>
      </c>
      <c r="H7" s="7" t="s">
        <v>45</v>
      </c>
      <c r="I7" s="8">
        <v>29.375</v>
      </c>
      <c r="K7" s="7" t="s">
        <v>44</v>
      </c>
      <c r="L7" s="6">
        <v>10</v>
      </c>
    </row>
    <row r="8" spans="1:12" x14ac:dyDescent="0.25">
      <c r="A8" t="s">
        <v>2</v>
      </c>
      <c r="E8" s="7" t="s">
        <v>46</v>
      </c>
      <c r="F8" s="8">
        <v>7</v>
      </c>
      <c r="H8" s="7" t="s">
        <v>46</v>
      </c>
      <c r="I8" s="8">
        <v>34.583333333333336</v>
      </c>
      <c r="K8" s="7" t="s">
        <v>45</v>
      </c>
      <c r="L8" s="6">
        <v>8</v>
      </c>
    </row>
    <row r="9" spans="1:12" x14ac:dyDescent="0.25">
      <c r="A9" s="2">
        <v>36.670533642691417</v>
      </c>
      <c r="E9" s="7" t="s">
        <v>47</v>
      </c>
      <c r="F9" s="8">
        <v>3.1428571428571428</v>
      </c>
      <c r="H9" s="7" t="s">
        <v>47</v>
      </c>
      <c r="I9" s="8">
        <v>38.684210526315788</v>
      </c>
      <c r="K9" s="7" t="s">
        <v>46</v>
      </c>
      <c r="L9" s="6">
        <v>12</v>
      </c>
    </row>
    <row r="10" spans="1:12" x14ac:dyDescent="0.25">
      <c r="E10" s="7" t="s">
        <v>48</v>
      </c>
      <c r="F10" s="8">
        <v>8</v>
      </c>
      <c r="H10" s="7" t="s">
        <v>48</v>
      </c>
      <c r="I10" s="8">
        <v>34.777777777777779</v>
      </c>
      <c r="K10" s="7" t="s">
        <v>47</v>
      </c>
      <c r="L10" s="6">
        <v>19</v>
      </c>
    </row>
    <row r="11" spans="1:12" x14ac:dyDescent="0.25">
      <c r="E11" s="7" t="s">
        <v>49</v>
      </c>
      <c r="F11" s="8">
        <v>5.25</v>
      </c>
      <c r="H11" s="7" t="s">
        <v>49</v>
      </c>
      <c r="I11" s="8">
        <v>37.307692307692307</v>
      </c>
      <c r="K11" s="7" t="s">
        <v>48</v>
      </c>
      <c r="L11" s="6">
        <v>9</v>
      </c>
    </row>
    <row r="12" spans="1:12" x14ac:dyDescent="0.25">
      <c r="E12" s="7" t="s">
        <v>50</v>
      </c>
      <c r="F12" s="8">
        <v>4.5714285714285712</v>
      </c>
      <c r="H12" s="7" t="s">
        <v>50</v>
      </c>
      <c r="I12" s="8">
        <v>35.631578947368418</v>
      </c>
      <c r="K12" s="7" t="s">
        <v>49</v>
      </c>
      <c r="L12" s="6">
        <v>13</v>
      </c>
    </row>
    <row r="13" spans="1:12" x14ac:dyDescent="0.25">
      <c r="A13" t="s">
        <v>3</v>
      </c>
      <c r="E13" s="7" t="s">
        <v>51</v>
      </c>
      <c r="F13" s="8">
        <v>2.75</v>
      </c>
      <c r="H13" s="7" t="s">
        <v>51</v>
      </c>
      <c r="I13" s="8">
        <v>36.6</v>
      </c>
      <c r="K13" s="7" t="s">
        <v>50</v>
      </c>
      <c r="L13" s="6">
        <v>19</v>
      </c>
    </row>
    <row r="14" spans="1:12" x14ac:dyDescent="0.25">
      <c r="A14" s="2">
        <v>4.7154471544715451</v>
      </c>
      <c r="E14" s="7" t="s">
        <v>52</v>
      </c>
      <c r="F14" s="8">
        <v>4.5</v>
      </c>
      <c r="H14" s="7" t="s">
        <v>52</v>
      </c>
      <c r="I14" s="8">
        <v>39.700000000000003</v>
      </c>
      <c r="K14" s="7" t="s">
        <v>51</v>
      </c>
      <c r="L14" s="6">
        <v>10</v>
      </c>
    </row>
    <row r="15" spans="1:12" x14ac:dyDescent="0.25">
      <c r="E15" s="7" t="s">
        <v>53</v>
      </c>
      <c r="F15" s="8">
        <v>5.5</v>
      </c>
      <c r="H15" s="7" t="s">
        <v>53</v>
      </c>
      <c r="I15" s="8">
        <v>37.4</v>
      </c>
      <c r="K15" s="7" t="s">
        <v>52</v>
      </c>
      <c r="L15" s="6">
        <v>20</v>
      </c>
    </row>
    <row r="16" spans="1:12" x14ac:dyDescent="0.25">
      <c r="E16" s="7" t="s">
        <v>54</v>
      </c>
      <c r="F16" s="8">
        <v>5.6</v>
      </c>
      <c r="H16" s="7" t="s">
        <v>54</v>
      </c>
      <c r="I16" s="8">
        <v>27.76923076923077</v>
      </c>
      <c r="K16" s="7" t="s">
        <v>53</v>
      </c>
      <c r="L16" s="6">
        <v>15</v>
      </c>
    </row>
    <row r="17" spans="5:12" x14ac:dyDescent="0.25">
      <c r="E17" s="7" t="s">
        <v>55</v>
      </c>
      <c r="F17" s="8">
        <v>5.75</v>
      </c>
      <c r="H17" s="7" t="s">
        <v>55</v>
      </c>
      <c r="I17" s="8">
        <v>38.777777777777779</v>
      </c>
      <c r="K17" s="7" t="s">
        <v>54</v>
      </c>
      <c r="L17" s="6">
        <v>13</v>
      </c>
    </row>
    <row r="18" spans="5:12" x14ac:dyDescent="0.25">
      <c r="E18" s="7" t="s">
        <v>56</v>
      </c>
      <c r="F18" s="8">
        <v>3.4444444444444446</v>
      </c>
      <c r="H18" s="7" t="s">
        <v>56</v>
      </c>
      <c r="I18" s="8">
        <v>31</v>
      </c>
      <c r="K18" s="7" t="s">
        <v>55</v>
      </c>
      <c r="L18" s="6">
        <v>9</v>
      </c>
    </row>
    <row r="19" spans="5:12" x14ac:dyDescent="0.25">
      <c r="E19" s="7" t="s">
        <v>57</v>
      </c>
      <c r="F19" s="8">
        <v>1.5</v>
      </c>
      <c r="H19" s="7" t="s">
        <v>57</v>
      </c>
      <c r="I19" s="8">
        <v>35.928571428571431</v>
      </c>
      <c r="K19" s="7" t="s">
        <v>56</v>
      </c>
      <c r="L19" s="6">
        <v>19</v>
      </c>
    </row>
    <row r="20" spans="5:12" x14ac:dyDescent="0.25">
      <c r="E20" s="7" t="s">
        <v>58</v>
      </c>
      <c r="F20" s="8">
        <v>3.6666666666666665</v>
      </c>
      <c r="H20" s="7" t="s">
        <v>58</v>
      </c>
      <c r="I20" s="8">
        <v>37.882352941176471</v>
      </c>
      <c r="K20" s="7" t="s">
        <v>57</v>
      </c>
      <c r="L20" s="6">
        <v>14</v>
      </c>
    </row>
    <row r="21" spans="5:12" x14ac:dyDescent="0.25">
      <c r="E21" s="7" t="s">
        <v>59</v>
      </c>
      <c r="F21" s="8">
        <v>4.4285714285714288</v>
      </c>
      <c r="H21" s="7" t="s">
        <v>59</v>
      </c>
      <c r="I21" s="8">
        <v>40.588235294117645</v>
      </c>
      <c r="K21" s="7" t="s">
        <v>58</v>
      </c>
      <c r="L21" s="6">
        <v>17</v>
      </c>
    </row>
    <row r="22" spans="5:12" x14ac:dyDescent="0.25">
      <c r="E22" s="7" t="s">
        <v>60</v>
      </c>
      <c r="F22" s="8">
        <v>6</v>
      </c>
      <c r="H22" s="7" t="s">
        <v>60</v>
      </c>
      <c r="I22" s="8">
        <v>34.533333333333331</v>
      </c>
      <c r="K22" s="7" t="s">
        <v>59</v>
      </c>
      <c r="L22" s="6">
        <v>17</v>
      </c>
    </row>
    <row r="23" spans="5:12" x14ac:dyDescent="0.25">
      <c r="E23" s="7" t="s">
        <v>61</v>
      </c>
      <c r="F23" s="8">
        <v>2.6666666666666665</v>
      </c>
      <c r="H23" s="7" t="s">
        <v>61</v>
      </c>
      <c r="I23" s="8">
        <v>40.333333333333336</v>
      </c>
      <c r="K23" s="7" t="s">
        <v>60</v>
      </c>
      <c r="L23" s="6">
        <v>15</v>
      </c>
    </row>
    <row r="24" spans="5:12" x14ac:dyDescent="0.25">
      <c r="E24" s="7" t="s">
        <v>62</v>
      </c>
      <c r="F24" s="8">
        <v>7.5</v>
      </c>
      <c r="H24" s="7" t="s">
        <v>62</v>
      </c>
      <c r="I24" s="8">
        <v>35.285714285714285</v>
      </c>
      <c r="K24" s="7" t="s">
        <v>61</v>
      </c>
      <c r="L24" s="6">
        <v>9</v>
      </c>
    </row>
    <row r="25" spans="5:12" x14ac:dyDescent="0.25">
      <c r="E25" s="7" t="s">
        <v>63</v>
      </c>
      <c r="F25" s="8">
        <v>4.5</v>
      </c>
      <c r="H25" s="7" t="s">
        <v>63</v>
      </c>
      <c r="I25" s="8">
        <v>35.5</v>
      </c>
      <c r="K25" s="7" t="s">
        <v>62</v>
      </c>
      <c r="L25" s="6">
        <v>14</v>
      </c>
    </row>
    <row r="26" spans="5:12" x14ac:dyDescent="0.25">
      <c r="E26" s="7" t="s">
        <v>64</v>
      </c>
      <c r="F26" s="8">
        <v>8</v>
      </c>
      <c r="H26" s="7" t="s">
        <v>64</v>
      </c>
      <c r="I26" s="8">
        <v>38.5625</v>
      </c>
      <c r="K26" s="7" t="s">
        <v>63</v>
      </c>
      <c r="L26" s="6">
        <v>22</v>
      </c>
    </row>
    <row r="27" spans="5:12" x14ac:dyDescent="0.25">
      <c r="E27" s="7" t="s">
        <v>65</v>
      </c>
      <c r="F27" s="8">
        <v>4.3636363636363633</v>
      </c>
      <c r="H27" s="7" t="s">
        <v>65</v>
      </c>
      <c r="I27" s="8">
        <v>42.727272727272727</v>
      </c>
      <c r="K27" s="7" t="s">
        <v>64</v>
      </c>
      <c r="L27" s="6">
        <v>16</v>
      </c>
    </row>
    <row r="28" spans="5:12" x14ac:dyDescent="0.25">
      <c r="E28" s="7" t="s">
        <v>66</v>
      </c>
      <c r="F28" s="8">
        <v>0</v>
      </c>
      <c r="H28" s="7" t="s">
        <v>66</v>
      </c>
      <c r="I28" s="8">
        <v>37.416666666666664</v>
      </c>
      <c r="K28" s="7" t="s">
        <v>65</v>
      </c>
      <c r="L28" s="6">
        <v>22</v>
      </c>
    </row>
    <row r="29" spans="5:12" x14ac:dyDescent="0.25">
      <c r="E29" s="7" t="s">
        <v>67</v>
      </c>
      <c r="F29" s="8">
        <v>10</v>
      </c>
      <c r="H29" s="7" t="s">
        <v>67</v>
      </c>
      <c r="I29" s="8">
        <v>32.450000000000003</v>
      </c>
      <c r="K29" s="7" t="s">
        <v>66</v>
      </c>
      <c r="L29" s="6">
        <v>12</v>
      </c>
    </row>
    <row r="30" spans="5:12" x14ac:dyDescent="0.25">
      <c r="E30" s="7" t="s">
        <v>69</v>
      </c>
      <c r="F30" s="8">
        <v>6.75</v>
      </c>
      <c r="H30" s="7" t="s">
        <v>68</v>
      </c>
      <c r="I30" s="8">
        <v>40.055555555555557</v>
      </c>
      <c r="K30" s="7" t="s">
        <v>67</v>
      </c>
      <c r="L30" s="6">
        <v>20</v>
      </c>
    </row>
    <row r="31" spans="5:12" x14ac:dyDescent="0.25">
      <c r="E31" s="7" t="s">
        <v>70</v>
      </c>
      <c r="F31" s="8">
        <v>7</v>
      </c>
      <c r="H31" s="7" t="s">
        <v>69</v>
      </c>
      <c r="I31" s="8">
        <v>31.666666666666668</v>
      </c>
      <c r="K31" s="7" t="s">
        <v>68</v>
      </c>
      <c r="L31" s="6">
        <v>18</v>
      </c>
    </row>
    <row r="32" spans="5:12" x14ac:dyDescent="0.25">
      <c r="E32" s="7" t="s">
        <v>71</v>
      </c>
      <c r="F32" s="8">
        <v>3.3333333333333335</v>
      </c>
      <c r="H32" s="7" t="s">
        <v>70</v>
      </c>
      <c r="I32" s="8">
        <v>39.769230769230766</v>
      </c>
      <c r="K32" s="7" t="s">
        <v>69</v>
      </c>
      <c r="L32" s="6">
        <v>18</v>
      </c>
    </row>
    <row r="33" spans="1:15" x14ac:dyDescent="0.25">
      <c r="E33" s="7" t="s">
        <v>4</v>
      </c>
      <c r="F33" s="6">
        <v>4.7154471544715451</v>
      </c>
      <c r="H33" s="7" t="s">
        <v>71</v>
      </c>
      <c r="I33" s="8">
        <v>36.733333333333334</v>
      </c>
      <c r="K33" s="7" t="s">
        <v>70</v>
      </c>
      <c r="L33" s="6">
        <v>13</v>
      </c>
    </row>
    <row r="34" spans="1:15" x14ac:dyDescent="0.25">
      <c r="H34" s="7" t="s">
        <v>4</v>
      </c>
      <c r="I34" s="6">
        <v>36.670533642691417</v>
      </c>
      <c r="K34" s="7" t="s">
        <v>71</v>
      </c>
      <c r="L34" s="6">
        <v>15</v>
      </c>
    </row>
    <row r="35" spans="1:15" x14ac:dyDescent="0.25">
      <c r="K35" s="7" t="s">
        <v>4</v>
      </c>
      <c r="L35" s="6">
        <v>431</v>
      </c>
    </row>
    <row r="36" spans="1:15" x14ac:dyDescent="0.25">
      <c r="N36" s="1" t="s">
        <v>5</v>
      </c>
      <c r="O36" t="s">
        <v>0</v>
      </c>
    </row>
    <row r="37" spans="1:15" x14ac:dyDescent="0.25">
      <c r="N37" s="4" t="s">
        <v>43</v>
      </c>
      <c r="O37">
        <v>13</v>
      </c>
    </row>
    <row r="38" spans="1:15" x14ac:dyDescent="0.25">
      <c r="N38" s="4" t="s">
        <v>44</v>
      </c>
      <c r="O38">
        <v>10</v>
      </c>
    </row>
    <row r="39" spans="1:15" x14ac:dyDescent="0.25">
      <c r="N39" s="4" t="s">
        <v>45</v>
      </c>
      <c r="O39">
        <v>8</v>
      </c>
    </row>
    <row r="40" spans="1:15" x14ac:dyDescent="0.25">
      <c r="A40" s="1" t="s">
        <v>5</v>
      </c>
      <c r="B40" t="s">
        <v>8</v>
      </c>
      <c r="C40" t="s">
        <v>11</v>
      </c>
      <c r="N40" s="4" t="s">
        <v>46</v>
      </c>
      <c r="O40">
        <v>12</v>
      </c>
    </row>
    <row r="41" spans="1:15" x14ac:dyDescent="0.25">
      <c r="A41" s="4" t="s">
        <v>9</v>
      </c>
      <c r="B41" s="2">
        <v>224</v>
      </c>
      <c r="C41" s="10">
        <v>0.51972157772621808</v>
      </c>
      <c r="N41" s="4" t="s">
        <v>47</v>
      </c>
      <c r="O41">
        <v>19</v>
      </c>
    </row>
    <row r="42" spans="1:15" x14ac:dyDescent="0.25">
      <c r="A42" s="4" t="s">
        <v>10</v>
      </c>
      <c r="B42" s="2">
        <v>207</v>
      </c>
      <c r="C42" s="10">
        <v>0.48027842227378192</v>
      </c>
      <c r="N42" s="4" t="s">
        <v>48</v>
      </c>
      <c r="O42">
        <v>9</v>
      </c>
    </row>
    <row r="43" spans="1:15" x14ac:dyDescent="0.25">
      <c r="A43" s="4" t="s">
        <v>4</v>
      </c>
      <c r="B43" s="2">
        <v>431</v>
      </c>
      <c r="C43" s="10">
        <v>1</v>
      </c>
      <c r="N43" s="4" t="s">
        <v>49</v>
      </c>
      <c r="O43">
        <v>13</v>
      </c>
    </row>
    <row r="44" spans="1:15" x14ac:dyDescent="0.25">
      <c r="N44" s="4" t="s">
        <v>50</v>
      </c>
      <c r="O44">
        <v>19</v>
      </c>
    </row>
    <row r="45" spans="1:15" x14ac:dyDescent="0.25">
      <c r="N45" s="4" t="s">
        <v>51</v>
      </c>
      <c r="O45">
        <v>10</v>
      </c>
    </row>
    <row r="46" spans="1:15" x14ac:dyDescent="0.25">
      <c r="N46" s="4" t="s">
        <v>52</v>
      </c>
      <c r="O46">
        <v>20</v>
      </c>
    </row>
    <row r="47" spans="1:15" x14ac:dyDescent="0.25">
      <c r="A47" s="13" t="s">
        <v>12</v>
      </c>
      <c r="B47" s="13" t="s">
        <v>14</v>
      </c>
      <c r="C47" s="13" t="s">
        <v>13</v>
      </c>
      <c r="D47" s="11"/>
      <c r="N47" s="4" t="s">
        <v>53</v>
      </c>
      <c r="O47">
        <v>15</v>
      </c>
    </row>
    <row r="48" spans="1:15" x14ac:dyDescent="0.25">
      <c r="A48" s="14" t="str">
        <f>A42</f>
        <v>Not Admited</v>
      </c>
      <c r="B48" s="14">
        <f>B42</f>
        <v>207</v>
      </c>
      <c r="C48" s="15">
        <f>C42</f>
        <v>0.48027842227378192</v>
      </c>
      <c r="D48" s="12"/>
      <c r="N48" s="4" t="s">
        <v>54</v>
      </c>
      <c r="O48">
        <v>13</v>
      </c>
    </row>
    <row r="49" spans="1:15" x14ac:dyDescent="0.25">
      <c r="A49" s="14" t="str">
        <f>A41</f>
        <v>Admited</v>
      </c>
      <c r="B49" s="14">
        <f>B41</f>
        <v>224</v>
      </c>
      <c r="C49" s="15">
        <f>C41</f>
        <v>0.51972157772621808</v>
      </c>
      <c r="D49" s="12"/>
      <c r="N49" s="4" t="s">
        <v>55</v>
      </c>
      <c r="O49">
        <v>9</v>
      </c>
    </row>
    <row r="50" spans="1:15" x14ac:dyDescent="0.25">
      <c r="N50" s="4" t="s">
        <v>56</v>
      </c>
      <c r="O50">
        <v>19</v>
      </c>
    </row>
    <row r="51" spans="1:15" x14ac:dyDescent="0.25">
      <c r="N51" s="4" t="s">
        <v>57</v>
      </c>
      <c r="O51">
        <v>14</v>
      </c>
    </row>
    <row r="52" spans="1:15" x14ac:dyDescent="0.25">
      <c r="N52" s="4" t="s">
        <v>58</v>
      </c>
      <c r="O52">
        <v>17</v>
      </c>
    </row>
    <row r="53" spans="1:15" x14ac:dyDescent="0.25">
      <c r="N53" s="4" t="s">
        <v>59</v>
      </c>
      <c r="O53">
        <v>17</v>
      </c>
    </row>
    <row r="54" spans="1:15" x14ac:dyDescent="0.25">
      <c r="N54" s="4" t="s">
        <v>60</v>
      </c>
      <c r="O54">
        <v>15</v>
      </c>
    </row>
    <row r="55" spans="1:15" x14ac:dyDescent="0.25">
      <c r="A55" t="s">
        <v>24</v>
      </c>
      <c r="N55" s="4" t="s">
        <v>61</v>
      </c>
      <c r="O55">
        <v>9</v>
      </c>
    </row>
    <row r="56" spans="1:15" x14ac:dyDescent="0.25">
      <c r="A56" s="1" t="s">
        <v>5</v>
      </c>
      <c r="B56" t="s">
        <v>23</v>
      </c>
      <c r="N56" s="4" t="s">
        <v>62</v>
      </c>
      <c r="O56">
        <v>14</v>
      </c>
    </row>
    <row r="57" spans="1:15" x14ac:dyDescent="0.25">
      <c r="A57" s="4" t="s">
        <v>15</v>
      </c>
      <c r="B57" s="16">
        <v>42</v>
      </c>
      <c r="N57" s="4" t="s">
        <v>63</v>
      </c>
      <c r="O57">
        <v>22</v>
      </c>
    </row>
    <row r="58" spans="1:15" x14ac:dyDescent="0.25">
      <c r="A58" s="4" t="s">
        <v>16</v>
      </c>
      <c r="B58" s="16">
        <v>46</v>
      </c>
      <c r="N58" s="4" t="s">
        <v>64</v>
      </c>
      <c r="O58">
        <v>16</v>
      </c>
    </row>
    <row r="59" spans="1:15" x14ac:dyDescent="0.25">
      <c r="A59" s="4" t="s">
        <v>17</v>
      </c>
      <c r="B59" s="16">
        <v>54</v>
      </c>
      <c r="N59" s="4" t="s">
        <v>65</v>
      </c>
      <c r="O59">
        <v>22</v>
      </c>
    </row>
    <row r="60" spans="1:15" x14ac:dyDescent="0.25">
      <c r="A60" s="4" t="s">
        <v>18</v>
      </c>
      <c r="B60" s="16">
        <v>68</v>
      </c>
      <c r="N60" s="4" t="s">
        <v>66</v>
      </c>
      <c r="O60">
        <v>12</v>
      </c>
    </row>
    <row r="61" spans="1:15" x14ac:dyDescent="0.25">
      <c r="A61" s="4" t="s">
        <v>19</v>
      </c>
      <c r="B61" s="16">
        <v>62</v>
      </c>
      <c r="N61" s="4" t="s">
        <v>67</v>
      </c>
      <c r="O61">
        <v>20</v>
      </c>
    </row>
    <row r="62" spans="1:15" x14ac:dyDescent="0.25">
      <c r="A62" s="4" t="s">
        <v>20</v>
      </c>
      <c r="B62" s="16">
        <v>52</v>
      </c>
      <c r="N62" s="4" t="s">
        <v>68</v>
      </c>
      <c r="O62">
        <v>18</v>
      </c>
    </row>
    <row r="63" spans="1:15" x14ac:dyDescent="0.25">
      <c r="A63" s="4" t="s">
        <v>21</v>
      </c>
      <c r="B63" s="16">
        <v>54</v>
      </c>
      <c r="N63" s="4" t="s">
        <v>69</v>
      </c>
      <c r="O63">
        <v>18</v>
      </c>
    </row>
    <row r="64" spans="1:15" x14ac:dyDescent="0.25">
      <c r="A64" s="4" t="s">
        <v>22</v>
      </c>
      <c r="B64" s="16">
        <v>53</v>
      </c>
      <c r="N64" s="4" t="s">
        <v>70</v>
      </c>
      <c r="O64">
        <v>13</v>
      </c>
    </row>
    <row r="65" spans="1:15" x14ac:dyDescent="0.25">
      <c r="A65" s="4" t="s">
        <v>4</v>
      </c>
      <c r="B65" s="2">
        <v>431</v>
      </c>
      <c r="N65" s="4" t="s">
        <v>71</v>
      </c>
      <c r="O65">
        <v>15</v>
      </c>
    </row>
    <row r="66" spans="1:15" x14ac:dyDescent="0.25">
      <c r="N66" s="4" t="s">
        <v>4</v>
      </c>
      <c r="O66">
        <v>431</v>
      </c>
    </row>
    <row r="67" spans="1:15" x14ac:dyDescent="0.25">
      <c r="A67" s="4" t="s">
        <v>28</v>
      </c>
    </row>
    <row r="68" spans="1:15" x14ac:dyDescent="0.25">
      <c r="A68" s="1" t="s">
        <v>5</v>
      </c>
      <c r="B68" t="s">
        <v>27</v>
      </c>
    </row>
    <row r="69" spans="1:15" x14ac:dyDescent="0.25">
      <c r="A69" s="4" t="s">
        <v>26</v>
      </c>
      <c r="B69" s="16">
        <v>283</v>
      </c>
    </row>
    <row r="70" spans="1:15" x14ac:dyDescent="0.25">
      <c r="A70" s="4" t="s">
        <v>25</v>
      </c>
      <c r="B70" s="16">
        <v>148</v>
      </c>
    </row>
    <row r="71" spans="1:15" x14ac:dyDescent="0.25">
      <c r="A71" s="4" t="s">
        <v>4</v>
      </c>
      <c r="B71" s="2">
        <v>431</v>
      </c>
    </row>
    <row r="74" spans="1:15" x14ac:dyDescent="0.25">
      <c r="A74" s="4" t="s">
        <v>32</v>
      </c>
    </row>
    <row r="75" spans="1:15" x14ac:dyDescent="0.25">
      <c r="A75" s="1" t="s">
        <v>5</v>
      </c>
      <c r="B75" t="s">
        <v>31</v>
      </c>
    </row>
    <row r="76" spans="1:15" x14ac:dyDescent="0.25">
      <c r="A76" s="4" t="s">
        <v>29</v>
      </c>
      <c r="B76" s="2">
        <v>194</v>
      </c>
    </row>
    <row r="77" spans="1:15" x14ac:dyDescent="0.25">
      <c r="A77" s="4" t="s">
        <v>30</v>
      </c>
      <c r="B77" s="2">
        <v>237</v>
      </c>
    </row>
    <row r="78" spans="1:15" x14ac:dyDescent="0.25">
      <c r="A78" s="4" t="s">
        <v>4</v>
      </c>
      <c r="B78" s="2">
        <v>431</v>
      </c>
    </row>
    <row r="82" spans="1:2" x14ac:dyDescent="0.25">
      <c r="A82" s="1" t="s">
        <v>5</v>
      </c>
      <c r="B82" t="s">
        <v>41</v>
      </c>
    </row>
    <row r="83" spans="1:2" x14ac:dyDescent="0.25">
      <c r="A83" s="4" t="s">
        <v>36</v>
      </c>
      <c r="B83" s="16">
        <v>6</v>
      </c>
    </row>
    <row r="84" spans="1:2" x14ac:dyDescent="0.25">
      <c r="A84" s="4" t="s">
        <v>34</v>
      </c>
      <c r="B84" s="16">
        <v>6</v>
      </c>
    </row>
    <row r="85" spans="1:2" x14ac:dyDescent="0.25">
      <c r="A85" s="4" t="s">
        <v>40</v>
      </c>
      <c r="B85" s="16">
        <v>6</v>
      </c>
    </row>
    <row r="86" spans="1:2" x14ac:dyDescent="0.25">
      <c r="A86" s="4" t="s">
        <v>33</v>
      </c>
      <c r="B86" s="16">
        <v>12</v>
      </c>
    </row>
    <row r="87" spans="1:2" x14ac:dyDescent="0.25">
      <c r="A87" s="4" t="s">
        <v>39</v>
      </c>
      <c r="B87" s="16">
        <v>14</v>
      </c>
    </row>
    <row r="88" spans="1:2" x14ac:dyDescent="0.25">
      <c r="A88" s="4" t="s">
        <v>38</v>
      </c>
      <c r="B88" s="16">
        <v>46</v>
      </c>
    </row>
    <row r="89" spans="1:2" x14ac:dyDescent="0.25">
      <c r="A89" s="4" t="s">
        <v>35</v>
      </c>
      <c r="B89" s="16">
        <v>89</v>
      </c>
    </row>
    <row r="90" spans="1:2" x14ac:dyDescent="0.25">
      <c r="A90" s="4" t="s">
        <v>37</v>
      </c>
      <c r="B90" s="16">
        <v>252</v>
      </c>
    </row>
    <row r="91" spans="1:2" x14ac:dyDescent="0.25">
      <c r="A91" s="4" t="s">
        <v>4</v>
      </c>
      <c r="B91" s="2">
        <v>431</v>
      </c>
    </row>
    <row r="99" spans="1:1" x14ac:dyDescent="0.25">
      <c r="A99" s="1" t="s">
        <v>5</v>
      </c>
    </row>
    <row r="100" spans="1:1" x14ac:dyDescent="0.25">
      <c r="A100" s="4" t="s">
        <v>42</v>
      </c>
    </row>
    <row r="101" spans="1:1" x14ac:dyDescent="0.25">
      <c r="A101" s="4" t="s">
        <v>4</v>
      </c>
    </row>
  </sheetData>
  <mergeCells count="2">
    <mergeCell ref="E3:F3"/>
    <mergeCell ref="K4:L4"/>
  </mergeCells>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90BB5-6109-4666-8175-E004918D9076}">
  <dimension ref="A1"/>
  <sheetViews>
    <sheetView showGridLines="0"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C4D8F-FF53-470A-B998-32365BB3FF61}">
  <dimension ref="A1"/>
  <sheetViews>
    <sheetView showGridLines="0"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F0D7C-5C2B-4B7A-A0C9-A1263A57249C}">
  <dimension ref="A1"/>
  <sheetViews>
    <sheetView showGridLines="0"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7EB90A0-554C-48CC-9E8C-4493C8115BDE}">
  <ds:schemaRefs/>
</ds:datastoreItem>
</file>

<file path=customXml/itemProps2.xml><?xml version="1.0" encoding="utf-8"?>
<ds:datastoreItem xmlns:ds="http://schemas.openxmlformats.org/officeDocument/2006/customXml" ds:itemID="{E190C0CD-F0E2-4FAC-B57A-94CB97234DB3}">
  <ds:schemaRefs/>
</ds:datastoreItem>
</file>

<file path=customXml/itemProps3.xml><?xml version="1.0" encoding="utf-8"?>
<ds:datastoreItem xmlns:ds="http://schemas.openxmlformats.org/officeDocument/2006/customXml" ds:itemID="{B7C3A2E5-7064-497F-8BF3-CEBFA2D94C67}">
  <ds:schemaRefs/>
</ds:datastoreItem>
</file>

<file path=customXml/itemProps4.xml><?xml version="1.0" encoding="utf-8"?>
<ds:datastoreItem xmlns:ds="http://schemas.openxmlformats.org/officeDocument/2006/customXml" ds:itemID="{5F1B3D51-4B59-41DA-85D8-33444BAC7D47}">
  <ds:schemaRefs/>
</ds:datastoreItem>
</file>

<file path=customXml/itemProps5.xml><?xml version="1.0" encoding="utf-8"?>
<ds:datastoreItem xmlns:ds="http://schemas.openxmlformats.org/officeDocument/2006/customXml" ds:itemID="{9372ECD8-430F-48B3-B7D8-C7C74108785B}">
  <ds:schemaRefs/>
</ds:datastoreItem>
</file>

<file path=customXml/itemProps6.xml><?xml version="1.0" encoding="utf-8"?>
<ds:datastoreItem xmlns:ds="http://schemas.openxmlformats.org/officeDocument/2006/customXml" ds:itemID="{52C61FCF-9EC9-426D-96AD-7A32962F22BA}">
  <ds:schemaRefs/>
</ds:datastoreItem>
</file>

<file path=customXml/itemProps7.xml><?xml version="1.0" encoding="utf-8"?>
<ds:datastoreItem xmlns:ds="http://schemas.openxmlformats.org/officeDocument/2006/customXml" ds:itemID="{7ADFFAD9-9345-462F-9C0B-6FB3C0A760A3}">
  <ds:schemaRefs/>
</ds:datastoreItem>
</file>

<file path=customXml/itemProps8.xml><?xml version="1.0" encoding="utf-8"?>
<ds:datastoreItem xmlns:ds="http://schemas.openxmlformats.org/officeDocument/2006/customXml" ds:itemID="{00A4EBCD-59CD-462B-B070-2728260CFA54}">
  <ds:schemaRefs/>
</ds:datastoreItem>
</file>

<file path=customXml/itemProps9.xml><?xml version="1.0" encoding="utf-8"?>
<ds:datastoreItem xmlns:ds="http://schemas.openxmlformats.org/officeDocument/2006/customXml" ds:itemID="{A410901F-1654-4616-9429-29E19942783E}">
  <ds:schemaRefs/>
</ds:datastoreItem>
</file>

<file path=customXml/itemProps10.xml><?xml version="1.0" encoding="utf-8"?>
<ds:datastoreItem xmlns:ds="http://schemas.openxmlformats.org/officeDocument/2006/customXml" ds:itemID="{D3667D7C-B48D-41E4-BB02-5EB570DC056A}">
  <ds:schemaRefs>
    <ds:schemaRef ds:uri="http://schemas.microsoft.com/DataMashup"/>
  </ds:schemaRefs>
</ds:datastoreItem>
</file>

<file path=customXml/itemProps11.xml><?xml version="1.0" encoding="utf-8"?>
<ds:datastoreItem xmlns:ds="http://schemas.openxmlformats.org/officeDocument/2006/customXml" ds:itemID="{139D238E-D5EB-4C25-96F4-F01C5E828E93}">
  <ds:schemaRefs/>
</ds:datastoreItem>
</file>

<file path=customXml/itemProps12.xml><?xml version="1.0" encoding="utf-8"?>
<ds:datastoreItem xmlns:ds="http://schemas.openxmlformats.org/officeDocument/2006/customXml" ds:itemID="{D2C301F2-CD55-43F9-8C3C-046A1123C029}">
  <ds:schemaRefs/>
</ds:datastoreItem>
</file>

<file path=customXml/itemProps13.xml><?xml version="1.0" encoding="utf-8"?>
<ds:datastoreItem xmlns:ds="http://schemas.openxmlformats.org/officeDocument/2006/customXml" ds:itemID="{AFE5BC2C-320F-4981-8CA5-730205C35643}">
  <ds:schemaRefs/>
</ds:datastoreItem>
</file>

<file path=customXml/itemProps14.xml><?xml version="1.0" encoding="utf-8"?>
<ds:datastoreItem xmlns:ds="http://schemas.openxmlformats.org/officeDocument/2006/customXml" ds:itemID="{300AC719-45BA-4E5A-93FC-E7194BA62AB9}">
  <ds:schemaRefs/>
</ds:datastoreItem>
</file>

<file path=customXml/itemProps15.xml><?xml version="1.0" encoding="utf-8"?>
<ds:datastoreItem xmlns:ds="http://schemas.openxmlformats.org/officeDocument/2006/customXml" ds:itemID="{1D7980EA-C342-4336-B777-E087B25D6AB4}">
  <ds:schemaRefs/>
</ds:datastoreItem>
</file>

<file path=customXml/itemProps16.xml><?xml version="1.0" encoding="utf-8"?>
<ds:datastoreItem xmlns:ds="http://schemas.openxmlformats.org/officeDocument/2006/customXml" ds:itemID="{8D113507-C14F-47C6-8A26-4DDB6D7DA3AF}">
  <ds:schemaRefs/>
</ds:datastoreItem>
</file>

<file path=customXml/itemProps17.xml><?xml version="1.0" encoding="utf-8"?>
<ds:datastoreItem xmlns:ds="http://schemas.openxmlformats.org/officeDocument/2006/customXml" ds:itemID="{D13D3778-D53C-47D6-94F3-D201FDEB6A02}">
  <ds:schemaRefs/>
</ds:datastoreItem>
</file>

<file path=customXml/itemProps18.xml><?xml version="1.0" encoding="utf-8"?>
<ds:datastoreItem xmlns:ds="http://schemas.openxmlformats.org/officeDocument/2006/customXml" ds:itemID="{190C5AF9-FE9D-4183-BDC4-3280A424F76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Report</vt:lpstr>
      <vt:lpstr>Average wait time daily trend</vt:lpstr>
      <vt:lpstr>Dialy ER No of Patient</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Yadav</dc:creator>
  <cp:lastModifiedBy>Rahul Yadav</cp:lastModifiedBy>
  <dcterms:created xsi:type="dcterms:W3CDTF">2025-11-22T14:07:57Z</dcterms:created>
  <dcterms:modified xsi:type="dcterms:W3CDTF">2025-12-17T10:44:52Z</dcterms:modified>
</cp:coreProperties>
</file>